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-FujitaShuichi\Work\Repositories\vscode-extensions\vscode-extension-excel-sample\assets\excel\"/>
    </mc:Choice>
  </mc:AlternateContent>
  <xr:revisionPtr revIDLastSave="0" documentId="13_ncr:1_{9E8CE70B-12CB-4CB4-90FA-82AC09E0B9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6年9月" sheetId="4" r:id="rId1"/>
  </sheets>
  <definedNames>
    <definedName name="_xlnm.Print_Area" localSheetId="0">'2026年9月'!$A$1:$G$43</definedName>
    <definedName name="_xlnm.Print_Titles" localSheetId="0">'2026年9月'!$8:$10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1" i="4" l="1"/>
  <c r="S41" i="4"/>
  <c r="P41" i="4"/>
  <c r="M41" i="4"/>
  <c r="J41" i="4"/>
  <c r="E41" i="4"/>
  <c r="V40" i="4"/>
  <c r="S40" i="4"/>
  <c r="P40" i="4"/>
  <c r="M40" i="4"/>
  <c r="J40" i="4"/>
  <c r="E40" i="4"/>
  <c r="V39" i="4"/>
  <c r="S39" i="4"/>
  <c r="P39" i="4"/>
  <c r="M39" i="4"/>
  <c r="J39" i="4"/>
  <c r="E39" i="4"/>
  <c r="V38" i="4"/>
  <c r="S38" i="4"/>
  <c r="P38" i="4"/>
  <c r="M38" i="4"/>
  <c r="J38" i="4"/>
  <c r="E38" i="4"/>
  <c r="V37" i="4"/>
  <c r="E37" i="4" s="1"/>
  <c r="S37" i="4"/>
  <c r="P37" i="4"/>
  <c r="M37" i="4"/>
  <c r="J37" i="4"/>
  <c r="V36" i="4"/>
  <c r="S36" i="4"/>
  <c r="P36" i="4"/>
  <c r="M36" i="4"/>
  <c r="J36" i="4"/>
  <c r="E36" i="4"/>
  <c r="V35" i="4"/>
  <c r="S35" i="4"/>
  <c r="P35" i="4"/>
  <c r="M35" i="4"/>
  <c r="J35" i="4"/>
  <c r="E35" i="4"/>
  <c r="V34" i="4"/>
  <c r="S34" i="4"/>
  <c r="P34" i="4"/>
  <c r="M34" i="4"/>
  <c r="J34" i="4"/>
  <c r="E34" i="4"/>
  <c r="V33" i="4"/>
  <c r="S33" i="4"/>
  <c r="P33" i="4"/>
  <c r="E33" i="4" s="1"/>
  <c r="M33" i="4"/>
  <c r="J33" i="4"/>
  <c r="V32" i="4"/>
  <c r="S32" i="4"/>
  <c r="P32" i="4"/>
  <c r="M32" i="4"/>
  <c r="J32" i="4"/>
  <c r="E32" i="4"/>
  <c r="V31" i="4"/>
  <c r="S31" i="4"/>
  <c r="P31" i="4"/>
  <c r="M31" i="4"/>
  <c r="J31" i="4"/>
  <c r="E31" i="4"/>
  <c r="V30" i="4"/>
  <c r="S30" i="4"/>
  <c r="P30" i="4"/>
  <c r="M30" i="4"/>
  <c r="J30" i="4"/>
  <c r="E30" i="4"/>
  <c r="V29" i="4"/>
  <c r="S29" i="4"/>
  <c r="P29" i="4"/>
  <c r="M29" i="4"/>
  <c r="J29" i="4"/>
  <c r="E29" i="4"/>
  <c r="V28" i="4"/>
  <c r="S28" i="4"/>
  <c r="P28" i="4"/>
  <c r="M28" i="4"/>
  <c r="J28" i="4"/>
  <c r="E28" i="4"/>
  <c r="V27" i="4"/>
  <c r="S27" i="4"/>
  <c r="P27" i="4"/>
  <c r="M27" i="4"/>
  <c r="J27" i="4"/>
  <c r="E27" i="4"/>
  <c r="V26" i="4"/>
  <c r="S26" i="4"/>
  <c r="P26" i="4"/>
  <c r="M26" i="4"/>
  <c r="J26" i="4"/>
  <c r="E26" i="4"/>
  <c r="V25" i="4"/>
  <c r="S25" i="4"/>
  <c r="P25" i="4"/>
  <c r="M25" i="4"/>
  <c r="J25" i="4"/>
  <c r="E25" i="4"/>
  <c r="V24" i="4"/>
  <c r="S24" i="4"/>
  <c r="P24" i="4"/>
  <c r="M24" i="4"/>
  <c r="J24" i="4"/>
  <c r="E24" i="4"/>
  <c r="V23" i="4"/>
  <c r="S23" i="4"/>
  <c r="P23" i="4"/>
  <c r="M23" i="4"/>
  <c r="J23" i="4"/>
  <c r="E23" i="4"/>
  <c r="V22" i="4"/>
  <c r="S22" i="4"/>
  <c r="P22" i="4"/>
  <c r="M22" i="4"/>
  <c r="J22" i="4"/>
  <c r="E22" i="4"/>
  <c r="V21" i="4"/>
  <c r="S21" i="4"/>
  <c r="P21" i="4"/>
  <c r="M21" i="4"/>
  <c r="J21" i="4"/>
  <c r="E21" i="4"/>
  <c r="V20" i="4"/>
  <c r="S20" i="4"/>
  <c r="P20" i="4"/>
  <c r="M20" i="4"/>
  <c r="J20" i="4"/>
  <c r="E20" i="4"/>
  <c r="V19" i="4"/>
  <c r="S19" i="4"/>
  <c r="P19" i="4"/>
  <c r="M19" i="4"/>
  <c r="J19" i="4"/>
  <c r="E19" i="4" s="1"/>
  <c r="V18" i="4"/>
  <c r="S18" i="4"/>
  <c r="P18" i="4"/>
  <c r="M18" i="4"/>
  <c r="J18" i="4"/>
  <c r="E18" i="4" s="1"/>
  <c r="V17" i="4"/>
  <c r="S17" i="4"/>
  <c r="P17" i="4"/>
  <c r="M17" i="4"/>
  <c r="J17" i="4"/>
  <c r="E17" i="4" s="1"/>
  <c r="V16" i="4"/>
  <c r="S16" i="4"/>
  <c r="P16" i="4"/>
  <c r="M16" i="4"/>
  <c r="J16" i="4"/>
  <c r="E16" i="4" s="1"/>
  <c r="V15" i="4"/>
  <c r="S15" i="4"/>
  <c r="P15" i="4"/>
  <c r="M15" i="4"/>
  <c r="J15" i="4"/>
  <c r="E15" i="4"/>
  <c r="V14" i="4"/>
  <c r="S14" i="4"/>
  <c r="P14" i="4"/>
  <c r="M14" i="4"/>
  <c r="J14" i="4"/>
  <c r="E14" i="4" s="1"/>
  <c r="V13" i="4"/>
  <c r="S13" i="4"/>
  <c r="P13" i="4"/>
  <c r="M13" i="4"/>
  <c r="J13" i="4"/>
  <c r="E13" i="4" s="1"/>
  <c r="V12" i="4"/>
  <c r="S12" i="4"/>
  <c r="P12" i="4"/>
  <c r="M12" i="4"/>
  <c r="J12" i="4"/>
  <c r="E12" i="4" s="1"/>
  <c r="V11" i="4"/>
  <c r="S11" i="4"/>
  <c r="P11" i="4"/>
  <c r="M11" i="4"/>
  <c r="J11" i="4"/>
  <c r="E11" i="4"/>
  <c r="B11" i="4"/>
  <c r="D11" i="4" l="1"/>
  <c r="B12" i="4"/>
  <c r="D12" i="4" l="1"/>
  <c r="B13" i="4"/>
  <c r="D13" i="4" l="1"/>
  <c r="B14" i="4"/>
  <c r="B15" i="4" l="1"/>
  <c r="D14" i="4"/>
  <c r="D15" i="4" l="1"/>
  <c r="B16" i="4"/>
  <c r="D16" i="4" l="1"/>
  <c r="B17" i="4"/>
  <c r="D17" i="4" l="1"/>
  <c r="B18" i="4"/>
  <c r="D18" i="4" l="1"/>
  <c r="B19" i="4"/>
  <c r="B20" i="4" l="1"/>
  <c r="D19" i="4"/>
  <c r="D20" i="4" l="1"/>
  <c r="B21" i="4"/>
  <c r="D21" i="4" l="1"/>
  <c r="B22" i="4"/>
  <c r="D22" i="4" l="1"/>
  <c r="B23" i="4"/>
  <c r="D23" i="4" l="1"/>
  <c r="B24" i="4"/>
  <c r="D24" i="4" l="1"/>
  <c r="B25" i="4"/>
  <c r="D25" i="4" l="1"/>
  <c r="B26" i="4"/>
  <c r="D26" i="4" l="1"/>
  <c r="B27" i="4"/>
  <c r="D27" i="4" l="1"/>
  <c r="B28" i="4"/>
  <c r="D28" i="4" l="1"/>
  <c r="B29" i="4"/>
  <c r="D29" i="4" l="1"/>
  <c r="B30" i="4"/>
  <c r="D30" i="4" l="1"/>
  <c r="B31" i="4"/>
  <c r="D31" i="4" l="1"/>
  <c r="B32" i="4"/>
  <c r="D32" i="4" l="1"/>
  <c r="B33" i="4"/>
  <c r="D33" i="4" l="1"/>
  <c r="B34" i="4"/>
  <c r="D34" i="4" l="1"/>
  <c r="B35" i="4"/>
  <c r="D35" i="4" l="1"/>
  <c r="B36" i="4"/>
  <c r="D36" i="4" l="1"/>
  <c r="B37" i="4"/>
  <c r="D37" i="4" l="1"/>
  <c r="B38" i="4"/>
  <c r="D38" i="4" l="1"/>
  <c r="B39" i="4"/>
  <c r="D39" i="4" l="1"/>
  <c r="B40" i="4"/>
  <c r="D40" i="4" l="1"/>
  <c r="B41" i="4"/>
  <c r="G5" i="4" l="1"/>
  <c r="E43" i="4"/>
  <c r="D41" i="4"/>
</calcChain>
</file>

<file path=xl/sharedStrings.xml><?xml version="1.0" encoding="utf-8"?>
<sst xmlns="http://schemas.openxmlformats.org/spreadsheetml/2006/main" count="86" uniqueCount="39">
  <si>
    <t>日</t>
  </si>
  <si>
    <t>稼働日数</t>
  </si>
  <si>
    <t>Issue#264・265</t>
  </si>
  <si>
    <t>Issue#264・265 / 全体説明会視聴29~30</t>
  </si>
  <si>
    <t>Issue#264・265 / 全体説明会視聴27~28</t>
  </si>
  <si>
    <t>Issue#75・打合せ</t>
  </si>
  <si>
    <t>Issue#75</t>
  </si>
  <si>
    <t>全体会議・Issue#75</t>
  </si>
  <si>
    <t>SSHキーの設定・Issue#104</t>
  </si>
  <si>
    <t>PC環境の調整・全体説明会視聴25～26</t>
  </si>
  <si>
    <t>全体説明会視聴18～19・22</t>
  </si>
  <si>
    <t>Issue#75 / 打合せ / 全体説明会23～24</t>
  </si>
  <si>
    <t>Issue対応</t>
    <rPh sb="5" eb="7">
      <t>タイオウ</t>
    </rPh>
    <phoneticPr fontId="12"/>
  </si>
  <si>
    <t>日</t>
    <rPh sb="0" eb="1">
      <t>ニｔイ</t>
    </rPh>
    <phoneticPr fontId="12"/>
  </si>
  <si>
    <t>Issue#104</t>
    <phoneticPr fontId="12"/>
  </si>
  <si>
    <t>作業時間</t>
    <rPh sb="0" eb="2">
      <t>サギョウ</t>
    </rPh>
    <rPh sb="2" eb="4">
      <t>ジカン</t>
    </rPh>
    <phoneticPr fontId="12"/>
  </si>
  <si>
    <t>終了</t>
    <rPh sb="0" eb="2">
      <t>シュウリョウ</t>
    </rPh>
    <phoneticPr fontId="12"/>
  </si>
  <si>
    <t>開始</t>
    <rPh sb="0" eb="2">
      <t>カイシ</t>
    </rPh>
    <phoneticPr fontId="12"/>
  </si>
  <si>
    <t>作業時刻No5</t>
    <rPh sb="0" eb="2">
      <t>サギョウ</t>
    </rPh>
    <rPh sb="2" eb="4">
      <t>ジコク</t>
    </rPh>
    <phoneticPr fontId="12"/>
  </si>
  <si>
    <t>作業時刻No4</t>
    <rPh sb="0" eb="2">
      <t>サギョウ</t>
    </rPh>
    <rPh sb="2" eb="4">
      <t>ジコク</t>
    </rPh>
    <phoneticPr fontId="12"/>
  </si>
  <si>
    <t>作業時刻No3</t>
    <rPh sb="0" eb="2">
      <t>サギョウ</t>
    </rPh>
    <rPh sb="2" eb="4">
      <t>ジコク</t>
    </rPh>
    <phoneticPr fontId="12"/>
  </si>
  <si>
    <t>作業時刻No2</t>
    <rPh sb="0" eb="2">
      <t>サギョウ</t>
    </rPh>
    <rPh sb="2" eb="4">
      <t>ジコク</t>
    </rPh>
    <phoneticPr fontId="12"/>
  </si>
  <si>
    <t>作業時刻No1</t>
    <rPh sb="0" eb="2">
      <t>サギョウ</t>
    </rPh>
    <rPh sb="2" eb="4">
      <t>ジコク</t>
    </rPh>
    <phoneticPr fontId="12"/>
  </si>
  <si>
    <t>1日の中での作業時間帯</t>
    <rPh sb="1" eb="2">
      <t>ニチ</t>
    </rPh>
    <rPh sb="3" eb="4">
      <t>ナカ</t>
    </rPh>
    <rPh sb="6" eb="8">
      <t>サギョウ</t>
    </rPh>
    <rPh sb="8" eb="11">
      <t>ジカンタイ</t>
    </rPh>
    <phoneticPr fontId="12"/>
  </si>
  <si>
    <t>作業内容</t>
  </si>
  <si>
    <t>作業時間</t>
    <rPh sb="0" eb="2">
      <t>サギョウ</t>
    </rPh>
    <rPh sb="2" eb="4">
      <t>ジカン</t>
    </rPh>
    <phoneticPr fontId="16"/>
  </si>
  <si>
    <t>日付</t>
    <rPh sb="0" eb="2">
      <t>ヒヅケ</t>
    </rPh>
    <phoneticPr fontId="16"/>
  </si>
  <si>
    <t>※「作業時刻」の「開始」と「終了」は 9:00 や 14:15 のように15分単位の時刻で入力してください（日をまたぐ場合は終了に翌日の時刻を入力）</t>
    <rPh sb="4" eb="6">
      <t>ジコク</t>
    </rPh>
    <rPh sb="9" eb="11">
      <t>カイシ</t>
    </rPh>
    <rPh sb="14" eb="16">
      <t>シュウリョウ</t>
    </rPh>
    <phoneticPr fontId="12"/>
  </si>
  <si>
    <t>作業時間帯の重複（二重計上になります）</t>
  </si>
  <si>
    <t>12時間以上の入力（打ち間違いの可能性があります）</t>
  </si>
  <si>
    <t>月分</t>
    <rPh sb="0" eb="1">
      <t>ガツ</t>
    </rPh>
    <rPh sb="1" eb="2">
      <t>ブン</t>
    </rPh>
    <phoneticPr fontId="12"/>
  </si>
  <si>
    <t>年</t>
    <rPh sb="0" eb="1">
      <t>ネン</t>
    </rPh>
    <phoneticPr fontId="12"/>
  </si>
  <si>
    <t>当月の対象期間外（入力できません）</t>
  </si>
  <si>
    <t>自動計算（数式です。編集しないでください）</t>
  </si>
  <si>
    <t>合計稼働実績</t>
    <rPh sb="0" eb="2">
      <t>ゴウケイ</t>
    </rPh>
    <rPh sb="2" eb="6">
      <t>カドウジッセキ</t>
    </rPh>
    <phoneticPr fontId="12"/>
  </si>
  <si>
    <t>氏名：藤田 秀一</t>
  </si>
  <si>
    <t>入力欄（担当者が入力します）</t>
  </si>
  <si>
    <t>【凡例】</t>
  </si>
  <si>
    <t>稼働状況</t>
    <rPh sb="0" eb="2">
      <t>カドウ</t>
    </rPh>
    <rPh sb="2" eb="4">
      <t>ジョウキョウ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</si>
</sst>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d"/>
    <numFmt numFmtId="181" formatCode="0.00_);[Red]\(0.00\)"/>
    <numFmt numFmtId="182" formatCode="h:mm;@"/>
    <numFmt numFmtId="183" formatCode="0.00_);\(0.00\)"/>
  </numFmts>
  <fonts count="2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MS PGothic"/>
      <family val="3"/>
      <charset val="128"/>
    </font>
    <font>
      <sz val="10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"/>
      <color rgb="FF000000"/>
      <name val="MS PGothic"/>
      <family val="3"/>
      <charset val="128"/>
    </font>
    <font>
      <sz val="11"/>
      <color rgb="FF00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sz val="12"/>
      <color rgb="FF000000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sz val="6"/>
      <name val="MS PGothic"/>
      <family val="3"/>
      <charset val="128"/>
    </font>
    <font>
      <b/>
      <sz val="11"/>
      <color rgb="FF000000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11"/>
      <color rgb="FF000000"/>
      <name val="MS PGothic"/>
      <family val="3"/>
      <charset val="128"/>
    </font>
    <font>
      <sz val="6"/>
      <name val="ＭＳ Ｐゴシック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b/>
      <sz val="16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6F0FA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EBF1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56">
    <border>
      <left/>
      <right/>
      <top/>
      <bottom/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indexed="64"/>
      </left>
      <right style="medium">
        <color theme="1" tint="0.24994659260841701"/>
      </right>
      <top style="thin">
        <color indexed="64"/>
      </top>
      <bottom style="medium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 tint="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1" tint="0.24994659260841701"/>
      </bottom>
      <diagonal/>
    </border>
    <border>
      <left/>
      <right style="medium">
        <color theme="1" tint="0.24994659260841701"/>
      </right>
      <top style="thin">
        <color theme="1" tint="0.499984740745262"/>
      </top>
      <bottom style="medium">
        <color theme="1" tint="0.24994659260841701"/>
      </bottom>
      <diagonal/>
    </border>
    <border>
      <left style="dotted">
        <color indexed="64"/>
      </left>
      <right/>
      <top style="thin">
        <color theme="1" tint="0.499984740745262"/>
      </top>
      <bottom style="medium">
        <color theme="1" tint="0.24994659260841701"/>
      </bottom>
      <diagonal/>
    </border>
    <border>
      <left style="thin">
        <color theme="1" tint="0.499984740745262"/>
      </left>
      <right style="dotted">
        <color indexed="64"/>
      </right>
      <top style="thin">
        <color theme="1" tint="0.499984740745262"/>
      </top>
      <bottom style="medium">
        <color theme="1" tint="0.2499465926084170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24994659260841701"/>
      </bottom>
      <diagonal/>
    </border>
    <border>
      <left style="medium">
        <color theme="1" tint="0.24994659260841701"/>
      </left>
      <right/>
      <top style="thin">
        <color theme="1" tint="0.499984740745262"/>
      </top>
      <bottom style="medium">
        <color theme="1" tint="0.24994659260841701"/>
      </bottom>
      <diagonal/>
    </border>
    <border>
      <left style="thin">
        <color indexed="64"/>
      </left>
      <right style="medium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 tint="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dotted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tted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2499465926084170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theme="1" tint="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theme="1" tint="0.24994659260841701"/>
      </right>
      <top style="double">
        <color theme="1" tint="0.499984740745262"/>
      </top>
      <bottom style="thin">
        <color theme="1" tint="0.499984740745262"/>
      </bottom>
      <diagonal/>
    </border>
    <border>
      <left style="dotted">
        <color indexed="64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tted">
        <color indexed="64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medium">
        <color theme="1" tint="0.24994659260841701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24994659260841701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24994659260841701"/>
      </right>
      <top/>
      <bottom style="double">
        <color theme="1" tint="0.499984740745262"/>
      </bottom>
      <diagonal/>
    </border>
    <border>
      <left style="dotted">
        <color indexed="64"/>
      </left>
      <right/>
      <top/>
      <bottom style="double">
        <color theme="1" tint="0.499984740745262"/>
      </bottom>
      <diagonal/>
    </border>
    <border>
      <left style="thin">
        <color theme="1" tint="0.499984740745262"/>
      </left>
      <right style="dotted">
        <color indexed="64"/>
      </right>
      <top/>
      <bottom style="double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1" tint="0.24994659260841701"/>
      </left>
      <right/>
      <top style="thin">
        <color indexed="64"/>
      </top>
      <bottom/>
      <diagonal/>
    </border>
    <border>
      <left style="thin">
        <color theme="1" tint="0.499984740745262"/>
      </left>
      <right style="medium">
        <color theme="1" tint="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24994659260841701"/>
      </right>
      <top/>
      <bottom/>
      <diagonal/>
    </border>
    <border>
      <left style="dotted">
        <color indexed="64"/>
      </left>
      <right/>
      <top/>
      <bottom/>
      <diagonal/>
    </border>
    <border>
      <left style="thin">
        <color theme="1" tint="0.499984740745262"/>
      </left>
      <right style="dotted">
        <color indexed="64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24994659260841701"/>
      </left>
      <right/>
      <top/>
      <bottom/>
      <diagonal/>
    </border>
    <border>
      <left style="thin">
        <color theme="1" tint="0.499984740745262"/>
      </left>
      <right style="medium">
        <color theme="1" tint="0.24994659260841701"/>
      </right>
      <top style="medium">
        <color theme="1" tint="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2499465926084170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24994659260841701"/>
      </top>
      <bottom style="thin">
        <color theme="1" tint="0.499984740745262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/>
      <diagonal/>
    </border>
    <border>
      <left style="dotted">
        <color indexed="64"/>
      </left>
      <right/>
      <top style="medium">
        <color theme="1" tint="0.24994659260841701"/>
      </top>
      <bottom/>
      <diagonal/>
    </border>
    <border>
      <left style="thin">
        <color theme="1" tint="0.499984740745262"/>
      </left>
      <right style="dotted">
        <color indexed="64"/>
      </right>
      <top style="medium">
        <color theme="1" tint="0.24994659260841701"/>
      </top>
      <bottom/>
      <diagonal/>
    </border>
    <border>
      <left/>
      <right style="thin">
        <color theme="1" tint="0.499984740745262"/>
      </right>
      <top style="medium">
        <color theme="1" tint="0.24994659260841701"/>
      </top>
      <bottom style="thin">
        <color indexed="64"/>
      </bottom>
      <diagonal/>
    </border>
    <border>
      <left/>
      <right/>
      <top style="medium">
        <color theme="1" tint="0.24994659260841701"/>
      </top>
      <bottom style="thin">
        <color indexed="64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thin">
        <color indexed="64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/>
      <right/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/>
    <xf numFmtId="0" fontId="2" fillId="0" borderId="0"/>
  </cellStyleXfs>
  <cellXfs count="97">
    <xf numFmtId="0" fontId="0" fillId="0" borderId="0" xfId="0"/>
    <xf numFmtId="0" fontId="2" fillId="0" borderId="0" xfId="1"/>
    <xf numFmtId="0" fontId="2" fillId="0" borderId="0" xfId="1" applyAlignment="1">
      <alignment vertic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0" xfId="1" applyFont="1" applyAlignment="1">
      <alignment horizontal="right" vertical="center"/>
    </xf>
    <xf numFmtId="180" fontId="3" fillId="0" borderId="0" xfId="1" applyNumberFormat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6" fillId="0" borderId="0" xfId="1" applyFont="1"/>
    <xf numFmtId="0" fontId="7" fillId="0" borderId="0" xfId="1" applyFont="1" applyAlignment="1">
      <alignment horizontal="center"/>
    </xf>
    <xf numFmtId="0" fontId="8" fillId="0" borderId="0" xfId="1" applyFont="1" applyAlignment="1">
      <alignment horizontal="left"/>
    </xf>
    <xf numFmtId="180" fontId="8" fillId="0" borderId="0" xfId="1" applyNumberFormat="1" applyFont="1" applyAlignment="1">
      <alignment horizontal="center"/>
    </xf>
    <xf numFmtId="181" fontId="9" fillId="2" borderId="2" xfId="1" applyNumberFormat="1" applyFont="1" applyFill="1" applyBorder="1" applyAlignment="1">
      <alignment vertical="center"/>
    </xf>
    <xf numFmtId="182" fontId="9" fillId="3" borderId="3" xfId="1" applyNumberFormat="1" applyFont="1" applyFill="1" applyBorder="1" applyAlignment="1" applyProtection="1">
      <alignment vertical="center"/>
      <protection locked="0"/>
    </xf>
    <xf numFmtId="182" fontId="8" fillId="3" borderId="3" xfId="1" applyNumberFormat="1" applyFont="1" applyFill="1" applyBorder="1" applyAlignment="1" applyProtection="1">
      <alignment vertical="center"/>
      <protection locked="0"/>
    </xf>
    <xf numFmtId="181" fontId="9" fillId="2" borderId="3" xfId="1" applyNumberFormat="1" applyFont="1" applyFill="1" applyBorder="1" applyAlignment="1">
      <alignment vertical="center"/>
    </xf>
    <xf numFmtId="182" fontId="8" fillId="3" borderId="4" xfId="1" applyNumberFormat="1" applyFont="1" applyFill="1" applyBorder="1" applyAlignment="1" applyProtection="1">
      <alignment vertical="center"/>
      <protection locked="0"/>
    </xf>
    <xf numFmtId="0" fontId="8" fillId="3" borderId="5" xfId="1" applyFont="1" applyFill="1" applyBorder="1" applyAlignment="1" applyProtection="1">
      <alignment horizontal="left" vertical="center"/>
      <protection locked="0"/>
    </xf>
    <xf numFmtId="0" fontId="8" fillId="3" borderId="6" xfId="1" applyFont="1" applyFill="1" applyBorder="1" applyAlignment="1" applyProtection="1">
      <alignment horizontal="left" vertical="center"/>
      <protection locked="0"/>
    </xf>
    <xf numFmtId="183" fontId="10" fillId="2" borderId="7" xfId="1" applyNumberFormat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180" fontId="10" fillId="2" borderId="9" xfId="1" applyNumberFormat="1" applyFont="1" applyFill="1" applyBorder="1" applyAlignment="1">
      <alignment horizontal="right" vertical="center"/>
    </xf>
    <xf numFmtId="181" fontId="9" fillId="2" borderId="10" xfId="1" applyNumberFormat="1" applyFont="1" applyFill="1" applyBorder="1" applyAlignment="1">
      <alignment vertical="center"/>
    </xf>
    <xf numFmtId="182" fontId="9" fillId="3" borderId="11" xfId="1" applyNumberFormat="1" applyFont="1" applyFill="1" applyBorder="1" applyAlignment="1" applyProtection="1">
      <alignment vertical="center"/>
      <protection locked="0"/>
    </xf>
    <xf numFmtId="182" fontId="8" fillId="3" borderId="11" xfId="1" applyNumberFormat="1" applyFont="1" applyFill="1" applyBorder="1" applyAlignment="1" applyProtection="1">
      <alignment vertical="center"/>
      <protection locked="0"/>
    </xf>
    <xf numFmtId="181" fontId="9" fillId="2" borderId="11" xfId="1" applyNumberFormat="1" applyFont="1" applyFill="1" applyBorder="1" applyAlignment="1">
      <alignment vertical="center"/>
    </xf>
    <xf numFmtId="182" fontId="8" fillId="3" borderId="12" xfId="1" applyNumberFormat="1" applyFont="1" applyFill="1" applyBorder="1" applyAlignment="1" applyProtection="1">
      <alignment vertical="center"/>
      <protection locked="0"/>
    </xf>
    <xf numFmtId="0" fontId="8" fillId="3" borderId="13" xfId="1" applyFont="1" applyFill="1" applyBorder="1" applyAlignment="1" applyProtection="1">
      <alignment horizontal="left" vertical="center"/>
      <protection locked="0"/>
    </xf>
    <xf numFmtId="0" fontId="8" fillId="3" borderId="14" xfId="1" applyFont="1" applyFill="1" applyBorder="1" applyAlignment="1" applyProtection="1">
      <alignment horizontal="left" vertical="center"/>
      <protection locked="0"/>
    </xf>
    <xf numFmtId="183" fontId="10" fillId="2" borderId="15" xfId="1" applyNumberFormat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180" fontId="10" fillId="2" borderId="17" xfId="1" applyNumberFormat="1" applyFont="1" applyFill="1" applyBorder="1" applyAlignment="1">
      <alignment horizontal="right" vertical="center"/>
    </xf>
    <xf numFmtId="181" fontId="9" fillId="2" borderId="18" xfId="1" applyNumberFormat="1" applyFont="1" applyFill="1" applyBorder="1" applyAlignment="1">
      <alignment vertical="center"/>
    </xf>
    <xf numFmtId="182" fontId="9" fillId="3" borderId="19" xfId="1" applyNumberFormat="1" applyFont="1" applyFill="1" applyBorder="1" applyAlignment="1" applyProtection="1">
      <alignment vertical="center"/>
      <protection locked="0"/>
    </xf>
    <xf numFmtId="182" fontId="8" fillId="3" borderId="19" xfId="1" applyNumberFormat="1" applyFont="1" applyFill="1" applyBorder="1" applyAlignment="1" applyProtection="1">
      <alignment vertical="center"/>
      <protection locked="0"/>
    </xf>
    <xf numFmtId="181" fontId="9" fillId="2" borderId="19" xfId="1" applyNumberFormat="1" applyFont="1" applyFill="1" applyBorder="1" applyAlignment="1">
      <alignment vertical="center"/>
    </xf>
    <xf numFmtId="182" fontId="8" fillId="3" borderId="20" xfId="1" applyNumberFormat="1" applyFont="1" applyFill="1" applyBorder="1" applyAlignment="1" applyProtection="1">
      <alignment vertical="center"/>
      <protection locked="0"/>
    </xf>
    <xf numFmtId="0" fontId="8" fillId="3" borderId="21" xfId="1" applyFont="1" applyFill="1" applyBorder="1" applyAlignment="1" applyProtection="1">
      <alignment horizontal="left" vertical="center"/>
      <protection locked="0"/>
    </xf>
    <xf numFmtId="0" fontId="8" fillId="3" borderId="22" xfId="1" applyFont="1" applyFill="1" applyBorder="1" applyAlignment="1" applyProtection="1">
      <alignment horizontal="left" vertical="center"/>
      <protection locked="0"/>
    </xf>
    <xf numFmtId="183" fontId="10" fillId="2" borderId="23" xfId="1" applyNumberFormat="1" applyFont="1" applyFill="1" applyBorder="1" applyAlignment="1">
      <alignment horizontal="center" vertical="center"/>
    </xf>
    <xf numFmtId="0" fontId="10" fillId="4" borderId="24" xfId="1" applyFont="1" applyFill="1" applyBorder="1" applyAlignment="1">
      <alignment horizontal="center" vertical="center"/>
    </xf>
    <xf numFmtId="0" fontId="11" fillId="2" borderId="24" xfId="1" applyFont="1" applyFill="1" applyBorder="1" applyAlignment="1">
      <alignment horizontal="center" vertical="center"/>
    </xf>
    <xf numFmtId="180" fontId="10" fillId="2" borderId="25" xfId="1" applyNumberFormat="1" applyFont="1" applyFill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3" fillId="5" borderId="26" xfId="1" applyFont="1" applyFill="1" applyBorder="1" applyAlignment="1">
      <alignment horizontal="center" vertical="center"/>
    </xf>
    <xf numFmtId="0" fontId="13" fillId="5" borderId="27" xfId="1" applyFont="1" applyFill="1" applyBorder="1" applyAlignment="1">
      <alignment horizontal="center" vertical="center"/>
    </xf>
    <xf numFmtId="0" fontId="13" fillId="5" borderId="28" xfId="1" applyFont="1" applyFill="1" applyBorder="1" applyAlignment="1">
      <alignment horizontal="center" vertical="center"/>
    </xf>
    <xf numFmtId="0" fontId="14" fillId="5" borderId="29" xfId="1" applyFont="1" applyFill="1" applyBorder="1" applyAlignment="1">
      <alignment horizontal="center" vertical="center"/>
    </xf>
    <xf numFmtId="0" fontId="14" fillId="5" borderId="30" xfId="1" applyFont="1" applyFill="1" applyBorder="1" applyAlignment="1">
      <alignment horizontal="center" vertical="center"/>
    </xf>
    <xf numFmtId="0" fontId="10" fillId="5" borderId="31" xfId="1" applyFont="1" applyFill="1" applyBorder="1" applyAlignment="1">
      <alignment horizontal="center" vertical="center"/>
    </xf>
    <xf numFmtId="0" fontId="14" fillId="5" borderId="32" xfId="1" applyFont="1" applyFill="1" applyBorder="1" applyAlignment="1">
      <alignment horizontal="center" vertical="center"/>
    </xf>
    <xf numFmtId="0" fontId="14" fillId="5" borderId="33" xfId="1" applyFont="1" applyFill="1" applyBorder="1" applyAlignment="1">
      <alignment horizontal="center" vertical="center"/>
    </xf>
    <xf numFmtId="0" fontId="14" fillId="5" borderId="34" xfId="1" applyFont="1" applyFill="1" applyBorder="1" applyAlignment="1">
      <alignment horizontal="center" vertical="center"/>
    </xf>
    <xf numFmtId="0" fontId="13" fillId="5" borderId="35" xfId="1" applyFont="1" applyFill="1" applyBorder="1" applyAlignment="1">
      <alignment horizontal="center" vertical="center"/>
    </xf>
    <xf numFmtId="0" fontId="13" fillId="5" borderId="36" xfId="1" applyFont="1" applyFill="1" applyBorder="1" applyAlignment="1">
      <alignment horizontal="center" vertical="center"/>
    </xf>
    <xf numFmtId="0" fontId="13" fillId="5" borderId="16" xfId="1" applyFont="1" applyFill="1" applyBorder="1" applyAlignment="1">
      <alignment horizontal="center" vertical="center"/>
    </xf>
    <xf numFmtId="0" fontId="14" fillId="5" borderId="37" xfId="1" applyFont="1" applyFill="1" applyBorder="1" applyAlignment="1">
      <alignment horizontal="center" vertical="center"/>
    </xf>
    <xf numFmtId="0" fontId="14" fillId="5" borderId="38" xfId="1" applyFont="1" applyFill="1" applyBorder="1" applyAlignment="1">
      <alignment horizontal="center" vertical="center"/>
    </xf>
    <xf numFmtId="0" fontId="10" fillId="5" borderId="39" xfId="1" applyFont="1" applyFill="1" applyBorder="1" applyAlignment="1">
      <alignment horizontal="center" vertical="center"/>
    </xf>
    <xf numFmtId="0" fontId="14" fillId="5" borderId="40" xfId="1" applyFont="1" applyFill="1" applyBorder="1" applyAlignment="1">
      <alignment horizontal="center" vertical="center"/>
    </xf>
    <xf numFmtId="0" fontId="14" fillId="5" borderId="0" xfId="1" applyFont="1" applyFill="1" applyAlignment="1">
      <alignment horizontal="center" vertical="center"/>
    </xf>
    <xf numFmtId="0" fontId="14" fillId="5" borderId="41" xfId="1" applyFont="1" applyFill="1" applyBorder="1" applyAlignment="1">
      <alignment horizontal="center" vertical="center"/>
    </xf>
    <xf numFmtId="0" fontId="15" fillId="5" borderId="42" xfId="1" applyFont="1" applyFill="1" applyBorder="1" applyAlignment="1">
      <alignment horizontal="center" vertical="center"/>
    </xf>
    <xf numFmtId="0" fontId="15" fillId="5" borderId="43" xfId="1" applyFont="1" applyFill="1" applyBorder="1" applyAlignment="1">
      <alignment horizontal="center" vertical="center"/>
    </xf>
    <xf numFmtId="0" fontId="4" fillId="5" borderId="44" xfId="1" applyFont="1" applyFill="1" applyBorder="1" applyAlignment="1">
      <alignment horizontal="center" vertical="center"/>
    </xf>
    <xf numFmtId="0" fontId="14" fillId="5" borderId="45" xfId="1" applyFont="1" applyFill="1" applyBorder="1" applyAlignment="1">
      <alignment horizontal="center" vertical="center"/>
    </xf>
    <xf numFmtId="0" fontId="14" fillId="5" borderId="46" xfId="1" applyFont="1" applyFill="1" applyBorder="1" applyAlignment="1">
      <alignment horizontal="center" vertical="center"/>
    </xf>
    <xf numFmtId="0" fontId="10" fillId="5" borderId="47" xfId="1" applyFont="1" applyFill="1" applyBorder="1" applyAlignment="1">
      <alignment horizontal="center" vertical="center"/>
    </xf>
    <xf numFmtId="0" fontId="14" fillId="5" borderId="48" xfId="1" applyFont="1" applyFill="1" applyBorder="1" applyAlignment="1">
      <alignment horizontal="center" vertical="center"/>
    </xf>
    <xf numFmtId="0" fontId="14" fillId="5" borderId="49" xfId="1" applyFont="1" applyFill="1" applyBorder="1" applyAlignment="1">
      <alignment horizontal="center" vertical="center"/>
    </xf>
    <xf numFmtId="0" fontId="14" fillId="5" borderId="50" xfId="1" applyFont="1" applyFill="1" applyBorder="1" applyAlignment="1">
      <alignment horizontal="center" vertical="center"/>
    </xf>
    <xf numFmtId="0" fontId="17" fillId="0" borderId="0" xfId="1" applyFont="1"/>
    <xf numFmtId="0" fontId="7" fillId="0" borderId="0" xfId="1" applyFont="1"/>
    <xf numFmtId="0" fontId="18" fillId="0" borderId="0" xfId="1" applyFont="1" applyAlignment="1">
      <alignment horizontal="left"/>
    </xf>
    <xf numFmtId="180" fontId="18" fillId="0" borderId="0" xfId="1" applyNumberFormat="1" applyFont="1"/>
    <xf numFmtId="0" fontId="3" fillId="6" borderId="11" xfId="1" applyFont="1" applyFill="1" applyBorder="1"/>
    <xf numFmtId="0" fontId="3" fillId="0" borderId="0" xfId="1" applyFont="1"/>
    <xf numFmtId="0" fontId="3" fillId="7" borderId="11" xfId="1" applyFont="1" applyFill="1" applyBorder="1"/>
    <xf numFmtId="183" fontId="4" fillId="2" borderId="1" xfId="1" applyNumberFormat="1" applyFont="1" applyFill="1" applyBorder="1" applyAlignment="1">
      <alignment horizontal="center" vertical="center"/>
    </xf>
    <xf numFmtId="0" fontId="19" fillId="5" borderId="51" xfId="1" applyFont="1" applyFill="1" applyBorder="1" applyAlignment="1">
      <alignment vertical="center"/>
    </xf>
    <xf numFmtId="0" fontId="19" fillId="3" borderId="52" xfId="1" applyFont="1" applyFill="1" applyBorder="1" applyAlignment="1" applyProtection="1">
      <alignment vertical="center"/>
      <protection locked="0"/>
    </xf>
    <xf numFmtId="14" fontId="20" fillId="5" borderId="52" xfId="1" applyNumberFormat="1" applyFont="1" applyFill="1" applyBorder="1" applyAlignment="1">
      <alignment vertical="center"/>
    </xf>
    <xf numFmtId="0" fontId="20" fillId="3" borderId="52" xfId="1" applyFont="1" applyFill="1" applyBorder="1" applyAlignment="1" applyProtection="1">
      <alignment horizontal="center" vertical="center"/>
      <protection locked="0"/>
    </xf>
    <xf numFmtId="0" fontId="20" fillId="3" borderId="53" xfId="1" applyFont="1" applyFill="1" applyBorder="1" applyAlignment="1" applyProtection="1">
      <alignment horizontal="center" vertical="center"/>
      <protection locked="0"/>
    </xf>
    <xf numFmtId="0" fontId="3" fillId="5" borderId="11" xfId="1" applyFont="1" applyFill="1" applyBorder="1"/>
    <xf numFmtId="0" fontId="4" fillId="5" borderId="54" xfId="1" applyFont="1" applyFill="1" applyBorder="1" applyAlignment="1">
      <alignment horizontal="center" vertical="center"/>
    </xf>
    <xf numFmtId="0" fontId="3" fillId="2" borderId="11" xfId="1" applyFont="1" applyFill="1" applyBorder="1"/>
    <xf numFmtId="0" fontId="4" fillId="5" borderId="55" xfId="1" applyFont="1" applyFill="1" applyBorder="1" applyAlignment="1">
      <alignment horizontal="center" vertical="center"/>
    </xf>
    <xf numFmtId="0" fontId="20" fillId="3" borderId="51" xfId="1" applyFont="1" applyFill="1" applyBorder="1" applyAlignment="1" applyProtection="1">
      <alignment horizontal="left" vertical="center"/>
      <protection locked="0"/>
    </xf>
    <xf numFmtId="0" fontId="20" fillId="3" borderId="52" xfId="1" applyFont="1" applyFill="1" applyBorder="1" applyAlignment="1" applyProtection="1">
      <alignment horizontal="left" vertical="center"/>
      <protection locked="0"/>
    </xf>
    <xf numFmtId="0" fontId="20" fillId="3" borderId="53" xfId="1" applyFont="1" applyFill="1" applyBorder="1" applyAlignment="1" applyProtection="1">
      <alignment horizontal="left" vertical="center"/>
      <protection locked="0"/>
    </xf>
    <xf numFmtId="0" fontId="3" fillId="3" borderId="11" xfId="1" applyFont="1" applyFill="1" applyBorder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</cellXfs>
  <cellStyles count="2">
    <cellStyle name="標準" xfId="0" builtinId="0"/>
    <cellStyle name="標準 2" xfId="1" xr:uid="{892F0438-1A8B-455F-8940-DEB468A83D30}"/>
  </cellStyles>
  <dxfs count="14"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theme="1" tint="0.34998626667073579"/>
        </patternFill>
      </fill>
    </dxf>
    <dxf>
      <font>
        <color rgb="FFC00000"/>
      </font>
    </dxf>
    <dxf>
      <font>
        <color rgb="FF0070C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4994-6EC0-4BFE-B7E9-24DB237D2D50}">
  <sheetPr>
    <pageSetUpPr fitToPage="1"/>
  </sheetPr>
  <dimension ref="A1:V43"/>
  <sheetViews>
    <sheetView showGridLines="0" tabSelected="1" topLeftCell="A22" zoomScale="80" zoomScaleNormal="80" zoomScaleSheetLayoutView="100" workbookViewId="0">
      <selection activeCell="I33" sqref="I33"/>
    </sheetView>
  </sheetViews>
  <sheetFormatPr defaultColWidth="11.8125" defaultRowHeight="15.75" customHeight="1"/>
  <cols>
    <col min="1" max="1" width="2.4375" style="1" customWidth="1"/>
    <col min="2" max="2" width="7.5" style="1" customWidth="1"/>
    <col min="3" max="3" width="3.375" style="1" customWidth="1"/>
    <col min="4" max="4" width="4.3125" style="1" customWidth="1"/>
    <col min="5" max="5" width="9.75" style="1" customWidth="1"/>
    <col min="6" max="6" width="19.125" style="1" customWidth="1"/>
    <col min="7" max="7" width="42.0625" style="1" customWidth="1"/>
    <col min="8" max="9" width="7.125" style="1" customWidth="1"/>
    <col min="10" max="10" width="8.5625" style="1" customWidth="1"/>
    <col min="11" max="22" width="7.5" style="1" customWidth="1"/>
    <col min="23" max="16384" width="11.8125" style="1"/>
  </cols>
  <sheetData>
    <row r="1" spans="2:22" ht="27" customHeight="1">
      <c r="B1" s="96" t="s">
        <v>38</v>
      </c>
      <c r="C1" s="96"/>
      <c r="D1" s="96"/>
      <c r="E1" s="96"/>
      <c r="F1" s="96"/>
      <c r="G1" s="96"/>
      <c r="I1" s="4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2:22" ht="15" customHeight="1" thickBot="1">
      <c r="B2" s="95"/>
      <c r="C2" s="95"/>
      <c r="D2" s="95"/>
      <c r="E2" s="95"/>
      <c r="F2" s="95"/>
      <c r="G2" s="95"/>
      <c r="I2" s="94"/>
      <c r="J2" s="3" t="s">
        <v>36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s="2" customFormat="1" ht="22.15" customHeight="1" thickBot="1">
      <c r="B3" s="93" t="s">
        <v>35</v>
      </c>
      <c r="C3" s="92"/>
      <c r="D3" s="92"/>
      <c r="E3" s="92"/>
      <c r="F3" s="91"/>
      <c r="G3" s="90" t="s">
        <v>34</v>
      </c>
      <c r="I3" s="89"/>
      <c r="J3" s="3" t="s">
        <v>33</v>
      </c>
    </row>
    <row r="4" spans="2:22" ht="15" customHeight="1" thickBot="1">
      <c r="B4" s="77"/>
      <c r="C4" s="76"/>
      <c r="D4" s="76"/>
      <c r="F4" s="75"/>
      <c r="G4" s="88"/>
      <c r="H4" s="74"/>
      <c r="I4" s="87"/>
      <c r="J4" s="3" t="s">
        <v>32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2:22" s="2" customFormat="1" ht="22.15" customHeight="1" thickBot="1">
      <c r="B5" s="86">
        <v>2026</v>
      </c>
      <c r="C5" s="85"/>
      <c r="D5" s="84" t="s">
        <v>31</v>
      </c>
      <c r="E5" s="83">
        <v>9</v>
      </c>
      <c r="F5" s="82" t="s">
        <v>30</v>
      </c>
      <c r="G5" s="81">
        <f>SUMIF($B$11:$B$41,"&lt;="&amp;DATE($B$5,$E$5+1,15),$E$11:$E$41)</f>
        <v>42.25</v>
      </c>
      <c r="I5" s="80"/>
      <c r="J5" s="3" t="s">
        <v>29</v>
      </c>
    </row>
    <row r="6" spans="2:22" ht="22.15" customHeight="1">
      <c r="B6" s="77"/>
      <c r="C6" s="76"/>
      <c r="D6" s="76"/>
      <c r="E6" s="79"/>
      <c r="F6" s="75"/>
      <c r="G6" s="75"/>
      <c r="I6" s="78"/>
      <c r="J6" s="3" t="s">
        <v>28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 ht="22.15" customHeight="1" thickBot="1">
      <c r="B7" s="77"/>
      <c r="C7" s="76"/>
      <c r="D7" s="76"/>
      <c r="F7" s="75"/>
      <c r="G7" s="75"/>
      <c r="H7" s="74"/>
      <c r="I7" s="3" t="s">
        <v>27</v>
      </c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</row>
    <row r="8" spans="2:22" ht="21" customHeight="1">
      <c r="B8" s="73" t="s">
        <v>26</v>
      </c>
      <c r="C8" s="72"/>
      <c r="D8" s="71"/>
      <c r="E8" s="70" t="s">
        <v>25</v>
      </c>
      <c r="F8" s="69" t="s">
        <v>24</v>
      </c>
      <c r="G8" s="68"/>
      <c r="H8" s="67" t="s">
        <v>23</v>
      </c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5"/>
    </row>
    <row r="9" spans="2:22" ht="21" customHeight="1">
      <c r="B9" s="64"/>
      <c r="C9" s="63"/>
      <c r="D9" s="62"/>
      <c r="E9" s="61"/>
      <c r="F9" s="60"/>
      <c r="G9" s="59"/>
      <c r="H9" s="58" t="s">
        <v>22</v>
      </c>
      <c r="I9" s="57"/>
      <c r="J9" s="57"/>
      <c r="K9" s="57" t="s">
        <v>21</v>
      </c>
      <c r="L9" s="57"/>
      <c r="M9" s="57"/>
      <c r="N9" s="57" t="s">
        <v>20</v>
      </c>
      <c r="O9" s="57"/>
      <c r="P9" s="57"/>
      <c r="Q9" s="57" t="s">
        <v>19</v>
      </c>
      <c r="R9" s="57"/>
      <c r="S9" s="57"/>
      <c r="T9" s="57" t="s">
        <v>18</v>
      </c>
      <c r="U9" s="57"/>
      <c r="V9" s="56"/>
    </row>
    <row r="10" spans="2:22" s="46" customFormat="1" ht="21" customHeight="1" thickBot="1">
      <c r="B10" s="55"/>
      <c r="C10" s="54"/>
      <c r="D10" s="53"/>
      <c r="E10" s="52"/>
      <c r="F10" s="51"/>
      <c r="G10" s="50"/>
      <c r="H10" s="49" t="s">
        <v>17</v>
      </c>
      <c r="I10" s="48" t="s">
        <v>16</v>
      </c>
      <c r="J10" s="48" t="s">
        <v>15</v>
      </c>
      <c r="K10" s="48" t="s">
        <v>17</v>
      </c>
      <c r="L10" s="48" t="s">
        <v>16</v>
      </c>
      <c r="M10" s="48" t="s">
        <v>15</v>
      </c>
      <c r="N10" s="48" t="s">
        <v>17</v>
      </c>
      <c r="O10" s="48" t="s">
        <v>16</v>
      </c>
      <c r="P10" s="48" t="s">
        <v>15</v>
      </c>
      <c r="Q10" s="48" t="s">
        <v>17</v>
      </c>
      <c r="R10" s="48" t="s">
        <v>16</v>
      </c>
      <c r="S10" s="48" t="s">
        <v>15</v>
      </c>
      <c r="T10" s="48" t="s">
        <v>17</v>
      </c>
      <c r="U10" s="48" t="s">
        <v>16</v>
      </c>
      <c r="V10" s="47" t="s">
        <v>15</v>
      </c>
    </row>
    <row r="11" spans="2:22" s="2" customFormat="1" ht="20.25" customHeight="1" thickTop="1">
      <c r="B11" s="45">
        <f>DATE($B$5,$E$5,16)</f>
        <v>46281</v>
      </c>
      <c r="C11" s="44" t="s">
        <v>13</v>
      </c>
      <c r="D11" s="43" t="str">
        <f>TEXT(B11,"aaa")</f>
        <v>水</v>
      </c>
      <c r="E11" s="42">
        <f>IF(COUNT(J11,M11,P11,S11,V11)=0,"",SUM(J11,M11,P11,S11,V11))</f>
        <v>3.25</v>
      </c>
      <c r="F11" s="41" t="s">
        <v>14</v>
      </c>
      <c r="G11" s="40"/>
      <c r="H11" s="39">
        <v>0.55208333333333337</v>
      </c>
      <c r="I11" s="36">
        <v>0.6875</v>
      </c>
      <c r="J11" s="38">
        <f>IF(OR(H11="",I11=""),"",ROUND(MOD(I11-H11,1)*24,2))</f>
        <v>3.25</v>
      </c>
      <c r="K11" s="37"/>
      <c r="L11" s="36"/>
      <c r="M11" s="38" t="str">
        <f>IF(OR(K11="",L11=""),"",ROUND(MOD(L11-K11,1)*24,2))</f>
        <v/>
      </c>
      <c r="N11" s="37"/>
      <c r="O11" s="36"/>
      <c r="P11" s="38" t="str">
        <f>IF(OR(N11="",O11=""),"",ROUND(MOD(O11-N11,1)*24,2))</f>
        <v/>
      </c>
      <c r="Q11" s="37"/>
      <c r="R11" s="36"/>
      <c r="S11" s="38" t="str">
        <f>IF(OR(Q11="",R11=""),"",ROUND(MOD(R11-Q11,1)*24,2))</f>
        <v/>
      </c>
      <c r="T11" s="37"/>
      <c r="U11" s="36"/>
      <c r="V11" s="35" t="str">
        <f>IF(OR(T11="",U11=""),"",ROUND(MOD(U11-T11,1)*24,2))</f>
        <v/>
      </c>
    </row>
    <row r="12" spans="2:22" s="2" customFormat="1" ht="20.25" customHeight="1">
      <c r="B12" s="34">
        <f>B11+1</f>
        <v>46282</v>
      </c>
      <c r="C12" s="33" t="s">
        <v>13</v>
      </c>
      <c r="D12" s="32" t="str">
        <f>TEXT(B12,"aaa")</f>
        <v>木</v>
      </c>
      <c r="E12" s="31">
        <f>IF(COUNT(J12,M12,P12,S12,V12)=0,"",SUM(J12,M12,P12,S12,V12))</f>
        <v>1.75</v>
      </c>
      <c r="F12" s="30" t="s">
        <v>12</v>
      </c>
      <c r="G12" s="29"/>
      <c r="H12" s="28">
        <v>0.5625</v>
      </c>
      <c r="I12" s="25">
        <v>0.63541666666666663</v>
      </c>
      <c r="J12" s="27">
        <f>IF(OR(H12="",I12=""),"",ROUND(MOD(I12-H12,1)*24,2))</f>
        <v>1.75</v>
      </c>
      <c r="K12" s="26"/>
      <c r="L12" s="25"/>
      <c r="M12" s="27" t="str">
        <f>IF(OR(K12="",L12=""),"",ROUND(MOD(L12-K12,1)*24,2))</f>
        <v/>
      </c>
      <c r="N12" s="26"/>
      <c r="O12" s="25"/>
      <c r="P12" s="27" t="str">
        <f>IF(OR(N12="",O12=""),"",ROUND(MOD(O12-N12,1)*24,2))</f>
        <v/>
      </c>
      <c r="Q12" s="26"/>
      <c r="R12" s="25"/>
      <c r="S12" s="27" t="str">
        <f>IF(OR(Q12="",R12=""),"",ROUND(MOD(R12-Q12,1)*24,2))</f>
        <v/>
      </c>
      <c r="T12" s="26"/>
      <c r="U12" s="25"/>
      <c r="V12" s="24" t="str">
        <f>IF(OR(T12="",U12=""),"",ROUND(MOD(U12-T12,1)*24,2))</f>
        <v/>
      </c>
    </row>
    <row r="13" spans="2:22" s="2" customFormat="1" ht="20.25" customHeight="1">
      <c r="B13" s="34">
        <f>B12+1</f>
        <v>46283</v>
      </c>
      <c r="C13" s="33" t="s">
        <v>0</v>
      </c>
      <c r="D13" s="32" t="str">
        <f>TEXT(B13,"aaa")</f>
        <v>金</v>
      </c>
      <c r="E13" s="31">
        <f>IF(COUNT(J13,M13,P13,S13,V13)=0,"",SUM(J13,M13,P13,S13,V13))</f>
        <v>6</v>
      </c>
      <c r="F13" s="30" t="s">
        <v>11</v>
      </c>
      <c r="G13" s="29"/>
      <c r="H13" s="28">
        <v>0.52083333333333337</v>
      </c>
      <c r="I13" s="25">
        <v>0.69791666666666663</v>
      </c>
      <c r="J13" s="27">
        <f>IF(OR(H13="",I13=""),"",ROUND(MOD(I13-H13,1)*24,2))</f>
        <v>4.25</v>
      </c>
      <c r="K13" s="26">
        <v>0.76041666666666663</v>
      </c>
      <c r="L13" s="25">
        <v>0.83333333333333337</v>
      </c>
      <c r="M13" s="27">
        <f>IF(OR(K13="",L13=""),"",ROUND(MOD(L13-K13,1)*24,2))</f>
        <v>1.75</v>
      </c>
      <c r="N13" s="26"/>
      <c r="O13" s="25"/>
      <c r="P13" s="27" t="str">
        <f>IF(OR(N13="",O13=""),"",ROUND(MOD(O13-N13,1)*24,2))</f>
        <v/>
      </c>
      <c r="Q13" s="26"/>
      <c r="R13" s="25"/>
      <c r="S13" s="27" t="str">
        <f>IF(OR(Q13="",R13=""),"",ROUND(MOD(R13-Q13,1)*24,2))</f>
        <v/>
      </c>
      <c r="T13" s="26"/>
      <c r="U13" s="25"/>
      <c r="V13" s="24" t="str">
        <f>IF(OR(T13="",U13=""),"",ROUND(MOD(U13-T13,1)*24,2))</f>
        <v/>
      </c>
    </row>
    <row r="14" spans="2:22" s="2" customFormat="1" ht="20.25" customHeight="1">
      <c r="B14" s="34">
        <f>B13+1</f>
        <v>46284</v>
      </c>
      <c r="C14" s="33" t="s">
        <v>0</v>
      </c>
      <c r="D14" s="32" t="str">
        <f>TEXT(B14,"aaa")</f>
        <v>土</v>
      </c>
      <c r="E14" s="31">
        <f>IF(COUNT(J14,M14,P14,S14,V14)=0,"",SUM(J14,M14,P14,S14,V14))</f>
        <v>2.5</v>
      </c>
      <c r="F14" s="30" t="s">
        <v>6</v>
      </c>
      <c r="G14" s="29"/>
      <c r="H14" s="28">
        <v>0.4375</v>
      </c>
      <c r="I14" s="25">
        <v>0.5</v>
      </c>
      <c r="J14" s="27">
        <f>IF(OR(H14="",I14=""),"",ROUND(MOD(I14-H14,1)*24,2))</f>
        <v>1.5</v>
      </c>
      <c r="K14" s="26">
        <v>0.60416666666666663</v>
      </c>
      <c r="L14" s="25">
        <v>0.64583333333333337</v>
      </c>
      <c r="M14" s="27">
        <f>IF(OR(K14="",L14=""),"",ROUND(MOD(L14-K14,1)*24,2))</f>
        <v>1</v>
      </c>
      <c r="N14" s="26"/>
      <c r="O14" s="25"/>
      <c r="P14" s="27" t="str">
        <f>IF(OR(N14="",O14=""),"",ROUND(MOD(O14-N14,1)*24,2))</f>
        <v/>
      </c>
      <c r="Q14" s="26"/>
      <c r="R14" s="25"/>
      <c r="S14" s="27" t="str">
        <f>IF(OR(Q14="",R14=""),"",ROUND(MOD(R14-Q14,1)*24,2))</f>
        <v/>
      </c>
      <c r="T14" s="26"/>
      <c r="U14" s="25"/>
      <c r="V14" s="24" t="str">
        <f>IF(OR(T14="",U14=""),"",ROUND(MOD(U14-T14,1)*24,2))</f>
        <v/>
      </c>
    </row>
    <row r="15" spans="2:22" s="2" customFormat="1" ht="20.25" customHeight="1">
      <c r="B15" s="34">
        <f>B14+1</f>
        <v>46285</v>
      </c>
      <c r="C15" s="33" t="s">
        <v>0</v>
      </c>
      <c r="D15" s="32" t="str">
        <f>TEXT(B15,"aaa")</f>
        <v>日</v>
      </c>
      <c r="E15" s="31" t="str">
        <f>IF(COUNT(J15,M15,P15,S15,V15)=0,"",SUM(J15,M15,P15,S15,V15))</f>
        <v/>
      </c>
      <c r="F15" s="30"/>
      <c r="G15" s="29"/>
      <c r="H15" s="28"/>
      <c r="I15" s="25"/>
      <c r="J15" s="27" t="str">
        <f>IF(OR(H15="",I15=""),"",ROUND(MOD(I15-H15,1)*24,2))</f>
        <v/>
      </c>
      <c r="K15" s="26"/>
      <c r="L15" s="25"/>
      <c r="M15" s="27" t="str">
        <f>IF(OR(K15="",L15=""),"",ROUND(MOD(L15-K15,1)*24,2))</f>
        <v/>
      </c>
      <c r="N15" s="26"/>
      <c r="O15" s="25"/>
      <c r="P15" s="27" t="str">
        <f>IF(OR(N15="",O15=""),"",ROUND(MOD(O15-N15,1)*24,2))</f>
        <v/>
      </c>
      <c r="Q15" s="26"/>
      <c r="R15" s="25"/>
      <c r="S15" s="27" t="str">
        <f>IF(OR(Q15="",R15=""),"",ROUND(MOD(R15-Q15,1)*24,2))</f>
        <v/>
      </c>
      <c r="T15" s="26"/>
      <c r="U15" s="25"/>
      <c r="V15" s="24" t="str">
        <f>IF(OR(T15="",U15=""),"",ROUND(MOD(U15-T15,1)*24,2))</f>
        <v/>
      </c>
    </row>
    <row r="16" spans="2:22" s="2" customFormat="1" ht="20.25" customHeight="1">
      <c r="B16" s="34">
        <f>B15+1</f>
        <v>46286</v>
      </c>
      <c r="C16" s="33" t="s">
        <v>0</v>
      </c>
      <c r="D16" s="32" t="str">
        <f>TEXT(B16,"aaa")</f>
        <v>月</v>
      </c>
      <c r="E16" s="31">
        <f>IF(COUNT(J16,M16,P16,S16,V16)=0,"",SUM(J16,M16,P16,S16,V16))</f>
        <v>1</v>
      </c>
      <c r="F16" s="30" t="s">
        <v>6</v>
      </c>
      <c r="G16" s="29"/>
      <c r="H16" s="28">
        <v>0.5</v>
      </c>
      <c r="I16" s="25">
        <v>0.54166666666666663</v>
      </c>
      <c r="J16" s="27">
        <f>IF(OR(H16="",I16=""),"",ROUND(MOD(I16-H16,1)*24,2))</f>
        <v>1</v>
      </c>
      <c r="K16" s="26"/>
      <c r="L16" s="25"/>
      <c r="M16" s="27" t="str">
        <f>IF(OR(K16="",L16=""),"",ROUND(MOD(L16-K16,1)*24,2))</f>
        <v/>
      </c>
      <c r="N16" s="26"/>
      <c r="O16" s="25"/>
      <c r="P16" s="27" t="str">
        <f>IF(OR(N16="",O16=""),"",ROUND(MOD(O16-N16,1)*24,2))</f>
        <v/>
      </c>
      <c r="Q16" s="26"/>
      <c r="R16" s="25"/>
      <c r="S16" s="27" t="str">
        <f>IF(OR(Q16="",R16=""),"",ROUND(MOD(R16-Q16,1)*24,2))</f>
        <v/>
      </c>
      <c r="T16" s="26"/>
      <c r="U16" s="25"/>
      <c r="V16" s="24" t="str">
        <f>IF(OR(T16="",U16=""),"",ROUND(MOD(U16-T16,1)*24,2))</f>
        <v/>
      </c>
    </row>
    <row r="17" spans="2:22" s="2" customFormat="1" ht="20.25" customHeight="1">
      <c r="B17" s="34">
        <f>B16+1</f>
        <v>46287</v>
      </c>
      <c r="C17" s="33" t="s">
        <v>0</v>
      </c>
      <c r="D17" s="32" t="str">
        <f>TEXT(B17,"aaa")</f>
        <v>火</v>
      </c>
      <c r="E17" s="31" t="str">
        <f>IF(COUNT(J17,M17,P17,S17,V17)=0,"",SUM(J17,M17,P17,S17,V17))</f>
        <v/>
      </c>
      <c r="F17" s="30"/>
      <c r="G17" s="29"/>
      <c r="H17" s="28"/>
      <c r="I17" s="25"/>
      <c r="J17" s="27" t="str">
        <f>IF(OR(H17="",I17=""),"",ROUND(MOD(I17-H17,1)*24,2))</f>
        <v/>
      </c>
      <c r="K17" s="26"/>
      <c r="L17" s="25"/>
      <c r="M17" s="27" t="str">
        <f>IF(OR(K17="",L17=""),"",ROUND(MOD(L17-K17,1)*24,2))</f>
        <v/>
      </c>
      <c r="N17" s="26"/>
      <c r="O17" s="25"/>
      <c r="P17" s="27" t="str">
        <f>IF(OR(N17="",O17=""),"",ROUND(MOD(O17-N17,1)*24,2))</f>
        <v/>
      </c>
      <c r="Q17" s="26"/>
      <c r="R17" s="25"/>
      <c r="S17" s="27" t="str">
        <f>IF(OR(Q17="",R17=""),"",ROUND(MOD(R17-Q17,1)*24,2))</f>
        <v/>
      </c>
      <c r="T17" s="26"/>
      <c r="U17" s="25"/>
      <c r="V17" s="24" t="str">
        <f>IF(OR(T17="",U17=""),"",ROUND(MOD(U17-T17,1)*24,2))</f>
        <v/>
      </c>
    </row>
    <row r="18" spans="2:22" s="2" customFormat="1" ht="20.25" customHeight="1">
      <c r="B18" s="34">
        <f>B17+1</f>
        <v>46288</v>
      </c>
      <c r="C18" s="33" t="s">
        <v>0</v>
      </c>
      <c r="D18" s="32" t="str">
        <f>TEXT(B18,"aaa")</f>
        <v>水</v>
      </c>
      <c r="E18" s="31" t="str">
        <f>IF(COUNT(J18,M18,P18,S18,V18)=0,"",SUM(J18,M18,P18,S18,V18))</f>
        <v/>
      </c>
      <c r="F18" s="30"/>
      <c r="G18" s="29"/>
      <c r="H18" s="28"/>
      <c r="I18" s="25"/>
      <c r="J18" s="27" t="str">
        <f>IF(OR(H18="",I18=""),"",ROUND(MOD(I18-H18,1)*24,2))</f>
        <v/>
      </c>
      <c r="K18" s="26"/>
      <c r="L18" s="25"/>
      <c r="M18" s="27" t="str">
        <f>IF(OR(K18="",L18=""),"",ROUND(MOD(L18-K18,1)*24,2))</f>
        <v/>
      </c>
      <c r="N18" s="26"/>
      <c r="O18" s="25"/>
      <c r="P18" s="27" t="str">
        <f>IF(OR(N18="",O18=""),"",ROUND(MOD(O18-N18,1)*24,2))</f>
        <v/>
      </c>
      <c r="Q18" s="26"/>
      <c r="R18" s="25"/>
      <c r="S18" s="27" t="str">
        <f>IF(OR(Q18="",R18=""),"",ROUND(MOD(R18-Q18,1)*24,2))</f>
        <v/>
      </c>
      <c r="T18" s="26"/>
      <c r="U18" s="25"/>
      <c r="V18" s="24" t="str">
        <f>IF(OR(T18="",U18=""),"",ROUND(MOD(U18-T18,1)*24,2))</f>
        <v/>
      </c>
    </row>
    <row r="19" spans="2:22" s="2" customFormat="1" ht="20.25" customHeight="1">
      <c r="B19" s="34">
        <f>B18+1</f>
        <v>46289</v>
      </c>
      <c r="C19" s="33" t="s">
        <v>0</v>
      </c>
      <c r="D19" s="32" t="str">
        <f>TEXT(B19,"aaa")</f>
        <v>木</v>
      </c>
      <c r="E19" s="31" t="str">
        <f>IF(COUNT(J19,M19,P19,S19,V19)=0,"",SUM(J19,M19,P19,S19,V19))</f>
        <v/>
      </c>
      <c r="F19" s="30"/>
      <c r="G19" s="29"/>
      <c r="H19" s="28"/>
      <c r="I19" s="25"/>
      <c r="J19" s="27" t="str">
        <f>IF(OR(H19="",I19=""),"",ROUND(MOD(I19-H19,1)*24,2))</f>
        <v/>
      </c>
      <c r="K19" s="26"/>
      <c r="L19" s="25"/>
      <c r="M19" s="27" t="str">
        <f>IF(OR(K19="",L19=""),"",ROUND(MOD(L19-K19,1)*24,2))</f>
        <v/>
      </c>
      <c r="N19" s="26"/>
      <c r="O19" s="25"/>
      <c r="P19" s="27" t="str">
        <f>IF(OR(N19="",O19=""),"",ROUND(MOD(O19-N19,1)*24,2))</f>
        <v/>
      </c>
      <c r="Q19" s="26"/>
      <c r="R19" s="25"/>
      <c r="S19" s="27" t="str">
        <f>IF(OR(Q19="",R19=""),"",ROUND(MOD(R19-Q19,1)*24,2))</f>
        <v/>
      </c>
      <c r="T19" s="26"/>
      <c r="U19" s="25"/>
      <c r="V19" s="24" t="str">
        <f>IF(OR(T19="",U19=""),"",ROUND(MOD(U19-T19,1)*24,2))</f>
        <v/>
      </c>
    </row>
    <row r="20" spans="2:22" s="2" customFormat="1" ht="20.25" customHeight="1">
      <c r="B20" s="34">
        <f>B19+1</f>
        <v>46290</v>
      </c>
      <c r="C20" s="33" t="s">
        <v>0</v>
      </c>
      <c r="D20" s="32" t="str">
        <f>TEXT(B20,"aaa")</f>
        <v>金</v>
      </c>
      <c r="E20" s="31">
        <f>IF(COUNT(J20,M20,P20,S20,V20)=0,"",SUM(J20,M20,P20,S20,V20))</f>
        <v>2.5</v>
      </c>
      <c r="F20" s="30" t="s">
        <v>10</v>
      </c>
      <c r="G20" s="29"/>
      <c r="H20" s="28">
        <v>0.44791666666666669</v>
      </c>
      <c r="I20" s="25">
        <v>0.51041666666666663</v>
      </c>
      <c r="J20" s="27">
        <f>IF(OR(H20="",I20=""),"",ROUND(MOD(I20-H20,1)*24,2))</f>
        <v>1.5</v>
      </c>
      <c r="K20" s="26">
        <v>0.54166666666666663</v>
      </c>
      <c r="L20" s="25">
        <v>0.58333333333333337</v>
      </c>
      <c r="M20" s="27">
        <f>IF(OR(K20="",L20=""),"",ROUND(MOD(L20-K20,1)*24,2))</f>
        <v>1</v>
      </c>
      <c r="N20" s="26"/>
      <c r="O20" s="25"/>
      <c r="P20" s="27" t="str">
        <f>IF(OR(N20="",O20=""),"",ROUND(MOD(O20-N20,1)*24,2))</f>
        <v/>
      </c>
      <c r="Q20" s="26"/>
      <c r="R20" s="25"/>
      <c r="S20" s="27" t="str">
        <f>IF(OR(Q20="",R20=""),"",ROUND(MOD(R20-Q20,1)*24,2))</f>
        <v/>
      </c>
      <c r="T20" s="26"/>
      <c r="U20" s="25"/>
      <c r="V20" s="24" t="str">
        <f>IF(OR(T20="",U20=""),"",ROUND(MOD(U20-T20,1)*24,2))</f>
        <v/>
      </c>
    </row>
    <row r="21" spans="2:22" s="2" customFormat="1" ht="20.25" customHeight="1">
      <c r="B21" s="34">
        <f>B20+1</f>
        <v>46291</v>
      </c>
      <c r="C21" s="33" t="s">
        <v>0</v>
      </c>
      <c r="D21" s="32" t="str">
        <f>TEXT(B21,"aaa")</f>
        <v>土</v>
      </c>
      <c r="E21" s="31">
        <f>IF(COUNT(J21,M21,P21,S21,V21)=0,"",SUM(J21,M21,P21,S21,V21))</f>
        <v>3.5</v>
      </c>
      <c r="F21" s="30" t="s">
        <v>9</v>
      </c>
      <c r="G21" s="29"/>
      <c r="H21" s="28">
        <v>0.45833333333333331</v>
      </c>
      <c r="I21" s="25">
        <v>0.5</v>
      </c>
      <c r="J21" s="27">
        <f>IF(OR(H21="",I21=""),"",ROUND(MOD(I21-H21,1)*24,2))</f>
        <v>1</v>
      </c>
      <c r="K21" s="26">
        <v>0.54166666666666663</v>
      </c>
      <c r="L21" s="25">
        <v>0.64583333333333337</v>
      </c>
      <c r="M21" s="27">
        <f>IF(OR(K21="",L21=""),"",ROUND(MOD(L21-K21,1)*24,2))</f>
        <v>2.5</v>
      </c>
      <c r="N21" s="26"/>
      <c r="O21" s="25"/>
      <c r="P21" s="27" t="str">
        <f>IF(OR(N21="",O21=""),"",ROUND(MOD(O21-N21,1)*24,2))</f>
        <v/>
      </c>
      <c r="Q21" s="26"/>
      <c r="R21" s="25"/>
      <c r="S21" s="27" t="str">
        <f>IF(OR(Q21="",R21=""),"",ROUND(MOD(R21-Q21,1)*24,2))</f>
        <v/>
      </c>
      <c r="T21" s="26"/>
      <c r="U21" s="25"/>
      <c r="V21" s="24" t="str">
        <f>IF(OR(T21="",U21=""),"",ROUND(MOD(U21-T21,1)*24,2))</f>
        <v/>
      </c>
    </row>
    <row r="22" spans="2:22" s="2" customFormat="1" ht="20.25" customHeight="1">
      <c r="B22" s="34">
        <f>B21+1</f>
        <v>46292</v>
      </c>
      <c r="C22" s="33" t="s">
        <v>0</v>
      </c>
      <c r="D22" s="32" t="str">
        <f>TEXT(B22,"aaa")</f>
        <v>日</v>
      </c>
      <c r="E22" s="31">
        <f>IF(COUNT(J22,M22,P22,S22,V22)=0,"",SUM(J22,M22,P22,S22,V22))</f>
        <v>3</v>
      </c>
      <c r="F22" s="30" t="s">
        <v>8</v>
      </c>
      <c r="G22" s="29"/>
      <c r="H22" s="28">
        <v>0.5625</v>
      </c>
      <c r="I22" s="25">
        <v>0.6875</v>
      </c>
      <c r="J22" s="27">
        <f>IF(OR(H22="",I22=""),"",ROUND(MOD(I22-H22,1)*24,2))</f>
        <v>3</v>
      </c>
      <c r="K22" s="26"/>
      <c r="L22" s="25"/>
      <c r="M22" s="27" t="str">
        <f>IF(OR(K22="",L22=""),"",ROUND(MOD(L22-K22,1)*24,2))</f>
        <v/>
      </c>
      <c r="N22" s="26"/>
      <c r="O22" s="25"/>
      <c r="P22" s="27" t="str">
        <f>IF(OR(N22="",O22=""),"",ROUND(MOD(O22-N22,1)*24,2))</f>
        <v/>
      </c>
      <c r="Q22" s="26"/>
      <c r="R22" s="25"/>
      <c r="S22" s="27" t="str">
        <f>IF(OR(Q22="",R22=""),"",ROUND(MOD(R22-Q22,1)*24,2))</f>
        <v/>
      </c>
      <c r="T22" s="26"/>
      <c r="U22" s="25"/>
      <c r="V22" s="24" t="str">
        <f>IF(OR(T22="",U22=""),"",ROUND(MOD(U22-T22,1)*24,2))</f>
        <v/>
      </c>
    </row>
    <row r="23" spans="2:22" s="2" customFormat="1" ht="20.25" customHeight="1">
      <c r="B23" s="34">
        <f>B22+1</f>
        <v>46293</v>
      </c>
      <c r="C23" s="33" t="s">
        <v>0</v>
      </c>
      <c r="D23" s="32" t="str">
        <f>TEXT(B23,"aaa")</f>
        <v>月</v>
      </c>
      <c r="E23" s="31">
        <f>IF(COUNT(J23,M23,P23,S23,V23)=0,"",SUM(J23,M23,P23,S23,V23))</f>
        <v>2</v>
      </c>
      <c r="F23" s="30" t="s">
        <v>7</v>
      </c>
      <c r="G23" s="29"/>
      <c r="H23" s="28">
        <v>0.5625</v>
      </c>
      <c r="I23" s="25">
        <v>0.60416666666666663</v>
      </c>
      <c r="J23" s="27">
        <f>IF(OR(H23="",I23=""),"",ROUND(MOD(I23-H23,1)*24,2))</f>
        <v>1</v>
      </c>
      <c r="K23" s="26">
        <v>0.72916666666666663</v>
      </c>
      <c r="L23" s="25">
        <v>0.77083333333333337</v>
      </c>
      <c r="M23" s="27">
        <f>IF(OR(K23="",L23=""),"",ROUND(MOD(L23-K23,1)*24,2))</f>
        <v>1</v>
      </c>
      <c r="N23" s="26"/>
      <c r="O23" s="25"/>
      <c r="P23" s="27" t="str">
        <f>IF(OR(N23="",O23=""),"",ROUND(MOD(O23-N23,1)*24,2))</f>
        <v/>
      </c>
      <c r="Q23" s="26"/>
      <c r="R23" s="25"/>
      <c r="S23" s="27" t="str">
        <f>IF(OR(Q23="",R23=""),"",ROUND(MOD(R23-Q23,1)*24,2))</f>
        <v/>
      </c>
      <c r="T23" s="26"/>
      <c r="U23" s="25"/>
      <c r="V23" s="24" t="str">
        <f>IF(OR(T23="",U23=""),"",ROUND(MOD(U23-T23,1)*24,2))</f>
        <v/>
      </c>
    </row>
    <row r="24" spans="2:22" s="2" customFormat="1" ht="20.25" customHeight="1">
      <c r="B24" s="34">
        <f>B23+1</f>
        <v>46294</v>
      </c>
      <c r="C24" s="33" t="s">
        <v>0</v>
      </c>
      <c r="D24" s="32" t="str">
        <f>TEXT(B24,"aaa")</f>
        <v>火</v>
      </c>
      <c r="E24" s="31">
        <f>IF(COUNT(J24,M24,P24,S24,V24)=0,"",SUM(J24,M24,P24,S24,V24))</f>
        <v>1.25</v>
      </c>
      <c r="F24" s="30" t="s">
        <v>6</v>
      </c>
      <c r="G24" s="29"/>
      <c r="H24" s="28">
        <v>0.53125</v>
      </c>
      <c r="I24" s="25">
        <v>0.58333333333333337</v>
      </c>
      <c r="J24" s="27">
        <f>IF(OR(H24="",I24=""),"",ROUND(MOD(I24-H24,1)*24,2))</f>
        <v>1.25</v>
      </c>
      <c r="K24" s="26"/>
      <c r="L24" s="25"/>
      <c r="M24" s="27" t="str">
        <f>IF(OR(K24="",L24=""),"",ROUND(MOD(L24-K24,1)*24,2))</f>
        <v/>
      </c>
      <c r="N24" s="26"/>
      <c r="O24" s="25"/>
      <c r="P24" s="27" t="str">
        <f>IF(OR(N24="",O24=""),"",ROUND(MOD(O24-N24,1)*24,2))</f>
        <v/>
      </c>
      <c r="Q24" s="26"/>
      <c r="R24" s="25"/>
      <c r="S24" s="27" t="str">
        <f>IF(OR(Q24="",R24=""),"",ROUND(MOD(R24-Q24,1)*24,2))</f>
        <v/>
      </c>
      <c r="T24" s="26"/>
      <c r="U24" s="25"/>
      <c r="V24" s="24" t="str">
        <f>IF(OR(T24="",U24=""),"",ROUND(MOD(U24-T24,1)*24,2))</f>
        <v/>
      </c>
    </row>
    <row r="25" spans="2:22" s="2" customFormat="1" ht="20.25" customHeight="1">
      <c r="B25" s="34">
        <f>B24+1</f>
        <v>46295</v>
      </c>
      <c r="C25" s="33" t="s">
        <v>0</v>
      </c>
      <c r="D25" s="32" t="str">
        <f>TEXT(B25,"aaa")</f>
        <v>水</v>
      </c>
      <c r="E25" s="31">
        <f>IF(COUNT(J25,M25,P25,S25,V25)=0,"",SUM(J25,M25,P25,S25,V25))</f>
        <v>1.25</v>
      </c>
      <c r="F25" s="30" t="s">
        <v>6</v>
      </c>
      <c r="G25" s="29"/>
      <c r="H25" s="28">
        <v>0.72916666666666663</v>
      </c>
      <c r="I25" s="25">
        <v>0.78125</v>
      </c>
      <c r="J25" s="27">
        <f>IF(OR(H25="",I25=""),"",ROUND(MOD(I25-H25,1)*24,2))</f>
        <v>1.25</v>
      </c>
      <c r="K25" s="26"/>
      <c r="L25" s="25"/>
      <c r="M25" s="27" t="str">
        <f>IF(OR(K25="",L25=""),"",ROUND(MOD(L25-K25,1)*24,2))</f>
        <v/>
      </c>
      <c r="N25" s="26"/>
      <c r="O25" s="25"/>
      <c r="P25" s="27" t="str">
        <f>IF(OR(N25="",O25=""),"",ROUND(MOD(O25-N25,1)*24,2))</f>
        <v/>
      </c>
      <c r="Q25" s="26"/>
      <c r="R25" s="25"/>
      <c r="S25" s="27" t="str">
        <f>IF(OR(Q25="",R25=""),"",ROUND(MOD(R25-Q25,1)*24,2))</f>
        <v/>
      </c>
      <c r="T25" s="26"/>
      <c r="U25" s="25"/>
      <c r="V25" s="24" t="str">
        <f>IF(OR(T25="",U25=""),"",ROUND(MOD(U25-T25,1)*24,2))</f>
        <v/>
      </c>
    </row>
    <row r="26" spans="2:22" s="2" customFormat="1" ht="20.25" customHeight="1">
      <c r="B26" s="34">
        <f>B25+1</f>
        <v>46296</v>
      </c>
      <c r="C26" s="33" t="s">
        <v>0</v>
      </c>
      <c r="D26" s="32" t="str">
        <f>TEXT(B26,"aaa")</f>
        <v>木</v>
      </c>
      <c r="E26" s="31">
        <f>IF(COUNT(J26,M26,P26,S26,V26)=0,"",SUM(J26,M26,P26,S26,V26))</f>
        <v>1.25</v>
      </c>
      <c r="F26" s="30" t="s">
        <v>6</v>
      </c>
      <c r="G26" s="29"/>
      <c r="H26" s="28">
        <v>0.53125</v>
      </c>
      <c r="I26" s="26">
        <v>0.58333333333333337</v>
      </c>
      <c r="J26" s="27">
        <f>IF(OR(H26="",I26=""),"",ROUND(MOD(I26-H26,1)*24,2))</f>
        <v>1.25</v>
      </c>
      <c r="K26" s="26"/>
      <c r="L26" s="26"/>
      <c r="M26" s="27" t="str">
        <f>IF(OR(K26="",L26=""),"",ROUND(MOD(L26-K26,1)*24,2))</f>
        <v/>
      </c>
      <c r="N26" s="26"/>
      <c r="O26" s="26"/>
      <c r="P26" s="27" t="str">
        <f>IF(OR(N26="",O26=""),"",ROUND(MOD(O26-N26,1)*24,2))</f>
        <v/>
      </c>
      <c r="Q26" s="26"/>
      <c r="R26" s="26"/>
      <c r="S26" s="27" t="str">
        <f>IF(OR(Q26="",R26=""),"",ROUND(MOD(R26-Q26,1)*24,2))</f>
        <v/>
      </c>
      <c r="T26" s="26"/>
      <c r="U26" s="26"/>
      <c r="V26" s="24" t="str">
        <f>IF(OR(T26="",U26=""),"",ROUND(MOD(U26-T26,1)*24,2))</f>
        <v/>
      </c>
    </row>
    <row r="27" spans="2:22" s="2" customFormat="1" ht="20.25" customHeight="1">
      <c r="B27" s="34">
        <f>B26+1</f>
        <v>46297</v>
      </c>
      <c r="C27" s="33" t="s">
        <v>0</v>
      </c>
      <c r="D27" s="32" t="str">
        <f>TEXT(B27,"aaa")</f>
        <v>金</v>
      </c>
      <c r="E27" s="31">
        <f>IF(COUNT(J27,M27,P27,S27,V27)=0,"",SUM(J27,M27,P27,S27,V27))</f>
        <v>2.5</v>
      </c>
      <c r="F27" s="30" t="s">
        <v>5</v>
      </c>
      <c r="G27" s="29"/>
      <c r="H27" s="28">
        <v>0.54166666666666663</v>
      </c>
      <c r="I27" s="25">
        <v>0.625</v>
      </c>
      <c r="J27" s="27">
        <f>IF(OR(H27="",I27=""),"",ROUND(MOD(I27-H27,1)*24,2))</f>
        <v>2</v>
      </c>
      <c r="K27" s="26">
        <v>0.64583333333333337</v>
      </c>
      <c r="L27" s="25">
        <v>0.66666666666666663</v>
      </c>
      <c r="M27" s="27">
        <f>IF(OR(K27="",L27=""),"",ROUND(MOD(L27-K27,1)*24,2))</f>
        <v>0.5</v>
      </c>
      <c r="N27" s="26"/>
      <c r="O27" s="25"/>
      <c r="P27" s="27" t="str">
        <f>IF(OR(N27="",O27=""),"",ROUND(MOD(O27-N27,1)*24,2))</f>
        <v/>
      </c>
      <c r="Q27" s="26"/>
      <c r="R27" s="25"/>
      <c r="S27" s="27" t="str">
        <f>IF(OR(Q27="",R27=""),"",ROUND(MOD(R27-Q27,1)*24,2))</f>
        <v/>
      </c>
      <c r="T27" s="26"/>
      <c r="U27" s="25"/>
      <c r="V27" s="24" t="str">
        <f>IF(OR(T27="",U27=""),"",ROUND(MOD(U27-T27,1)*24,2))</f>
        <v/>
      </c>
    </row>
    <row r="28" spans="2:22" s="2" customFormat="1" ht="20.25" customHeight="1">
      <c r="B28" s="34">
        <f>B27+1</f>
        <v>46298</v>
      </c>
      <c r="C28" s="33" t="s">
        <v>0</v>
      </c>
      <c r="D28" s="32" t="str">
        <f>TEXT(B28,"aaa")</f>
        <v>土</v>
      </c>
      <c r="E28" s="31">
        <f>IF(COUNT(J28,M28,P28,S28,V28)=0,"",SUM(J28,M28,P28,S28,V28))</f>
        <v>1.5</v>
      </c>
      <c r="F28" s="30" t="s">
        <v>2</v>
      </c>
      <c r="G28" s="29"/>
      <c r="H28" s="28">
        <v>0.61458333333333337</v>
      </c>
      <c r="I28" s="25">
        <v>0.67708333333333337</v>
      </c>
      <c r="J28" s="27">
        <f>IF(OR(H28="",I28=""),"",ROUND(MOD(I28-H28,1)*24,2))</f>
        <v>1.5</v>
      </c>
      <c r="K28" s="26"/>
      <c r="L28" s="25"/>
      <c r="M28" s="27" t="str">
        <f>IF(OR(K28="",L28=""),"",ROUND(MOD(L28-K28,1)*24,2))</f>
        <v/>
      </c>
      <c r="N28" s="26"/>
      <c r="O28" s="25"/>
      <c r="P28" s="27" t="str">
        <f>IF(OR(N28="",O28=""),"",ROUND(MOD(O28-N28,1)*24,2))</f>
        <v/>
      </c>
      <c r="Q28" s="26"/>
      <c r="R28" s="25"/>
      <c r="S28" s="27" t="str">
        <f>IF(OR(Q28="",R28=""),"",ROUND(MOD(R28-Q28,1)*24,2))</f>
        <v/>
      </c>
      <c r="T28" s="26"/>
      <c r="U28" s="25"/>
      <c r="V28" s="24" t="str">
        <f>IF(OR(T28="",U28=""),"",ROUND(MOD(U28-T28,1)*24,2))</f>
        <v/>
      </c>
    </row>
    <row r="29" spans="2:22" s="2" customFormat="1" ht="20.25" customHeight="1">
      <c r="B29" s="34">
        <f>B28+1</f>
        <v>46299</v>
      </c>
      <c r="C29" s="33" t="s">
        <v>0</v>
      </c>
      <c r="D29" s="32" t="str">
        <f>TEXT(B29,"aaa")</f>
        <v>日</v>
      </c>
      <c r="E29" s="31">
        <f>IF(COUNT(J29,M29,P29,S29,V29)=0,"",SUM(J29,M29,P29,S29,V29))</f>
        <v>3</v>
      </c>
      <c r="F29" s="30" t="s">
        <v>4</v>
      </c>
      <c r="G29" s="29"/>
      <c r="H29" s="28">
        <v>0.54166666666666663</v>
      </c>
      <c r="I29" s="25">
        <v>0.58333333333333337</v>
      </c>
      <c r="J29" s="27">
        <f>IF(OR(H29="",I29=""),"",ROUND(MOD(I29-H29,1)*24,2))</f>
        <v>1</v>
      </c>
      <c r="K29" s="26">
        <v>0.59375</v>
      </c>
      <c r="L29" s="25">
        <v>0.67708333333333337</v>
      </c>
      <c r="M29" s="27">
        <f>IF(OR(K29="",L29=""),"",ROUND(MOD(L29-K29,1)*24,2))</f>
        <v>2</v>
      </c>
      <c r="N29" s="26"/>
      <c r="O29" s="25"/>
      <c r="P29" s="27" t="str">
        <f>IF(OR(N29="",O29=""),"",ROUND(MOD(O29-N29,1)*24,2))</f>
        <v/>
      </c>
      <c r="Q29" s="26"/>
      <c r="R29" s="25"/>
      <c r="S29" s="27" t="str">
        <f>IF(OR(Q29="",R29=""),"",ROUND(MOD(R29-Q29,1)*24,2))</f>
        <v/>
      </c>
      <c r="T29" s="26"/>
      <c r="U29" s="25"/>
      <c r="V29" s="24" t="str">
        <f>IF(OR(T29="",U29=""),"",ROUND(MOD(U29-T29,1)*24,2))</f>
        <v/>
      </c>
    </row>
    <row r="30" spans="2:22" s="2" customFormat="1" ht="20.25" customHeight="1">
      <c r="B30" s="34">
        <f>B29+1</f>
        <v>46300</v>
      </c>
      <c r="C30" s="33" t="s">
        <v>0</v>
      </c>
      <c r="D30" s="32" t="str">
        <f>TEXT(B30,"aaa")</f>
        <v>月</v>
      </c>
      <c r="E30" s="31">
        <f>IF(COUNT(J30,M30,P30,S30,V30)=0,"",SUM(J30,M30,P30,S30,V30))</f>
        <v>4.5</v>
      </c>
      <c r="F30" s="30" t="s">
        <v>3</v>
      </c>
      <c r="G30" s="29"/>
      <c r="H30" s="28">
        <v>0.47916666666666669</v>
      </c>
      <c r="I30" s="26">
        <v>0.54166666666666663</v>
      </c>
      <c r="J30" s="27">
        <f>IF(OR(H30="",I30=""),"",ROUND(MOD(I30-H30,1)*24,2))</f>
        <v>1.5</v>
      </c>
      <c r="K30" s="26">
        <v>0.5625</v>
      </c>
      <c r="L30" s="26">
        <v>0.60416666666666663</v>
      </c>
      <c r="M30" s="27">
        <f>IF(OR(K30="",L30=""),"",ROUND(MOD(L30-K30,1)*24,2))</f>
        <v>1</v>
      </c>
      <c r="N30" s="26">
        <v>0.64583333333333337</v>
      </c>
      <c r="O30" s="26">
        <v>0.72916666666666663</v>
      </c>
      <c r="P30" s="27">
        <f>IF(OR(N30="",O30=""),"",ROUND(MOD(O30-N30,1)*24,2))</f>
        <v>2</v>
      </c>
      <c r="Q30" s="26"/>
      <c r="R30" s="26"/>
      <c r="S30" s="27" t="str">
        <f>IF(OR(Q30="",R30=""),"",ROUND(MOD(R30-Q30,1)*24,2))</f>
        <v/>
      </c>
      <c r="T30" s="26"/>
      <c r="U30" s="26"/>
      <c r="V30" s="24" t="str">
        <f>IF(OR(T30="",U30=""),"",ROUND(MOD(U30-T30,1)*24,2))</f>
        <v/>
      </c>
    </row>
    <row r="31" spans="2:22" s="2" customFormat="1" ht="20.25" customHeight="1">
      <c r="B31" s="34">
        <f>B30+1</f>
        <v>46301</v>
      </c>
      <c r="C31" s="33" t="s">
        <v>0</v>
      </c>
      <c r="D31" s="32" t="str">
        <f>TEXT(B31,"aaa")</f>
        <v>火</v>
      </c>
      <c r="E31" s="31">
        <f>IF(COUNT(J31,M31,P31,S31,V31)=0,"",SUM(J31,M31,P31,S31,V31))</f>
        <v>1.5</v>
      </c>
      <c r="F31" s="30" t="s">
        <v>2</v>
      </c>
      <c r="G31" s="29"/>
      <c r="H31" s="28">
        <v>0.41666666666666669</v>
      </c>
      <c r="I31" s="25">
        <v>0.47916666666666669</v>
      </c>
      <c r="J31" s="27">
        <f>IF(OR(H31="",I31=""),"",ROUND(MOD(I31-H31,1)*24,2))</f>
        <v>1.5</v>
      </c>
      <c r="K31" s="26">
        <v>0.58333333333333337</v>
      </c>
      <c r="L31" s="25"/>
      <c r="M31" s="27" t="str">
        <f>IF(OR(K31="",L31=""),"",ROUND(MOD(L31-K31,1)*24,2))</f>
        <v/>
      </c>
      <c r="N31" s="26"/>
      <c r="O31" s="25"/>
      <c r="P31" s="27" t="str">
        <f>IF(OR(N31="",O31=""),"",ROUND(MOD(O31-N31,1)*24,2))</f>
        <v/>
      </c>
      <c r="Q31" s="26"/>
      <c r="R31" s="25"/>
      <c r="S31" s="27" t="str">
        <f>IF(OR(Q31="",R31=""),"",ROUND(MOD(R31-Q31,1)*24,2))</f>
        <v/>
      </c>
      <c r="T31" s="26"/>
      <c r="U31" s="25"/>
      <c r="V31" s="24" t="str">
        <f>IF(OR(T31="",U31=""),"",ROUND(MOD(U31-T31,1)*24,2))</f>
        <v/>
      </c>
    </row>
    <row r="32" spans="2:22" s="2" customFormat="1" ht="20.25" customHeight="1">
      <c r="B32" s="34">
        <f>B31+1</f>
        <v>46302</v>
      </c>
      <c r="C32" s="33" t="s">
        <v>0</v>
      </c>
      <c r="D32" s="32" t="str">
        <f>TEXT(B32,"aaa")</f>
        <v>水</v>
      </c>
      <c r="E32" s="31" t="str">
        <f>IF(COUNT(J32,M32,P32,S32,V32)=0,"",SUM(J32,M32,P32,S32,V32))</f>
        <v/>
      </c>
      <c r="F32" s="30"/>
      <c r="G32" s="29"/>
      <c r="H32" s="28"/>
      <c r="I32" s="25"/>
      <c r="J32" s="27" t="str">
        <f>IF(OR(H32="",I32=""),"",ROUND(MOD(I32-H32,1)*24,2))</f>
        <v/>
      </c>
      <c r="K32" s="26"/>
      <c r="L32" s="25"/>
      <c r="M32" s="27" t="str">
        <f>IF(OR(K32="",L32=""),"",ROUND(MOD(L32-K32,1)*24,2))</f>
        <v/>
      </c>
      <c r="N32" s="26"/>
      <c r="O32" s="25"/>
      <c r="P32" s="27" t="str">
        <f>IF(OR(N32="",O32=""),"",ROUND(MOD(O32-N32,1)*24,2))</f>
        <v/>
      </c>
      <c r="Q32" s="26"/>
      <c r="R32" s="25"/>
      <c r="S32" s="27" t="str">
        <f>IF(OR(Q32="",R32=""),"",ROUND(MOD(R32-Q32,1)*24,2))</f>
        <v/>
      </c>
      <c r="T32" s="26"/>
      <c r="U32" s="25"/>
      <c r="V32" s="24" t="str">
        <f>IF(OR(T32="",U32=""),"",ROUND(MOD(U32-T32,1)*24,2))</f>
        <v/>
      </c>
    </row>
    <row r="33" spans="1:22" s="2" customFormat="1" ht="20.25" customHeight="1">
      <c r="B33" s="34">
        <f>B32+1</f>
        <v>46303</v>
      </c>
      <c r="C33" s="33" t="s">
        <v>0</v>
      </c>
      <c r="D33" s="32" t="str">
        <f>TEXT(B33,"aaa")</f>
        <v>木</v>
      </c>
      <c r="E33" s="31" t="str">
        <f>IF(COUNT(J33,M33,P33,S33,V33)=0,"",SUM(J33,M33,P33,S33,V33))</f>
        <v/>
      </c>
      <c r="F33" s="30"/>
      <c r="G33" s="29"/>
      <c r="H33" s="28"/>
      <c r="I33" s="25"/>
      <c r="J33" s="27" t="str">
        <f>IF(OR(H33="",I33=""),"",ROUND(MOD(I33-H33,1)*24,2))</f>
        <v/>
      </c>
      <c r="K33" s="26"/>
      <c r="L33" s="25"/>
      <c r="M33" s="27" t="str">
        <f>IF(OR(K33="",L33=""),"",ROUND(MOD(L33-K33,1)*24,2))</f>
        <v/>
      </c>
      <c r="N33" s="26"/>
      <c r="O33" s="25"/>
      <c r="P33" s="27" t="str">
        <f>IF(OR(N33="",O33=""),"",ROUND(MOD(O33-N33,1)*24,2))</f>
        <v/>
      </c>
      <c r="Q33" s="26"/>
      <c r="R33" s="25"/>
      <c r="S33" s="27" t="str">
        <f>IF(OR(Q33="",R33=""),"",ROUND(MOD(R33-Q33,1)*24,2))</f>
        <v/>
      </c>
      <c r="T33" s="26"/>
      <c r="U33" s="25"/>
      <c r="V33" s="24" t="str">
        <f>IF(OR(T33="",U33=""),"",ROUND(MOD(U33-T33,1)*24,2))</f>
        <v/>
      </c>
    </row>
    <row r="34" spans="1:22" s="2" customFormat="1" ht="20.25" customHeight="1">
      <c r="B34" s="34">
        <f>B33+1</f>
        <v>46304</v>
      </c>
      <c r="C34" s="33" t="s">
        <v>0</v>
      </c>
      <c r="D34" s="32" t="str">
        <f>TEXT(B34,"aaa")</f>
        <v>金</v>
      </c>
      <c r="E34" s="31" t="str">
        <f>IF(COUNT(J34,M34,P34,S34,V34)=0,"",SUM(J34,M34,P34,S34,V34))</f>
        <v/>
      </c>
      <c r="F34" s="30"/>
      <c r="G34" s="29"/>
      <c r="H34" s="28"/>
      <c r="I34" s="25"/>
      <c r="J34" s="27" t="str">
        <f>IF(OR(H34="",I34=""),"",ROUND(MOD(I34-H34,1)*24,2))</f>
        <v/>
      </c>
      <c r="K34" s="26"/>
      <c r="L34" s="25"/>
      <c r="M34" s="27" t="str">
        <f>IF(OR(K34="",L34=""),"",ROUND(MOD(L34-K34,1)*24,2))</f>
        <v/>
      </c>
      <c r="N34" s="26"/>
      <c r="O34" s="25"/>
      <c r="P34" s="27" t="str">
        <f>IF(OR(N34="",O34=""),"",ROUND(MOD(O34-N34,1)*24,2))</f>
        <v/>
      </c>
      <c r="Q34" s="26"/>
      <c r="R34" s="25"/>
      <c r="S34" s="27" t="str">
        <f>IF(OR(Q34="",R34=""),"",ROUND(MOD(R34-Q34,1)*24,2))</f>
        <v/>
      </c>
      <c r="T34" s="26"/>
      <c r="U34" s="25"/>
      <c r="V34" s="24" t="str">
        <f>IF(OR(T34="",U34=""),"",ROUND(MOD(U34-T34,1)*24,2))</f>
        <v/>
      </c>
    </row>
    <row r="35" spans="1:22" s="2" customFormat="1" ht="20.25" customHeight="1">
      <c r="B35" s="34">
        <f>B34+1</f>
        <v>46305</v>
      </c>
      <c r="C35" s="33" t="s">
        <v>0</v>
      </c>
      <c r="D35" s="32" t="str">
        <f>TEXT(B35,"aaa")</f>
        <v>土</v>
      </c>
      <c r="E35" s="31" t="str">
        <f>IF(COUNT(J35,M35,P35,S35,V35)=0,"",SUM(J35,M35,P35,S35,V35))</f>
        <v/>
      </c>
      <c r="F35" s="30"/>
      <c r="G35" s="29"/>
      <c r="H35" s="28"/>
      <c r="I35" s="25"/>
      <c r="J35" s="27" t="str">
        <f>IF(OR(H35="",I35=""),"",ROUND(MOD(I35-H35,1)*24,2))</f>
        <v/>
      </c>
      <c r="K35" s="26"/>
      <c r="L35" s="25"/>
      <c r="M35" s="27" t="str">
        <f>IF(OR(K35="",L35=""),"",ROUND(MOD(L35-K35,1)*24,2))</f>
        <v/>
      </c>
      <c r="N35" s="26"/>
      <c r="O35" s="25"/>
      <c r="P35" s="27" t="str">
        <f>IF(OR(N35="",O35=""),"",ROUND(MOD(O35-N35,1)*24,2))</f>
        <v/>
      </c>
      <c r="Q35" s="26"/>
      <c r="R35" s="25"/>
      <c r="S35" s="27" t="str">
        <f>IF(OR(Q35="",R35=""),"",ROUND(MOD(R35-Q35,1)*24,2))</f>
        <v/>
      </c>
      <c r="T35" s="26"/>
      <c r="U35" s="25"/>
      <c r="V35" s="24" t="str">
        <f>IF(OR(T35="",U35=""),"",ROUND(MOD(U35-T35,1)*24,2))</f>
        <v/>
      </c>
    </row>
    <row r="36" spans="1:22" s="2" customFormat="1" ht="20.25" customHeight="1">
      <c r="B36" s="34">
        <f>B35+1</f>
        <v>46306</v>
      </c>
      <c r="C36" s="33" t="s">
        <v>0</v>
      </c>
      <c r="D36" s="32" t="str">
        <f>TEXT(B36,"aaa")</f>
        <v>日</v>
      </c>
      <c r="E36" s="31" t="str">
        <f>IF(COUNT(J36,M36,P36,S36,V36)=0,"",SUM(J36,M36,P36,S36,V36))</f>
        <v/>
      </c>
      <c r="F36" s="30"/>
      <c r="G36" s="29"/>
      <c r="H36" s="28"/>
      <c r="I36" s="25"/>
      <c r="J36" s="27" t="str">
        <f>IF(OR(H36="",I36=""),"",ROUND(MOD(I36-H36,1)*24,2))</f>
        <v/>
      </c>
      <c r="K36" s="26"/>
      <c r="L36" s="25"/>
      <c r="M36" s="27" t="str">
        <f>IF(OR(K36="",L36=""),"",ROUND(MOD(L36-K36,1)*24,2))</f>
        <v/>
      </c>
      <c r="N36" s="26"/>
      <c r="O36" s="25"/>
      <c r="P36" s="27" t="str">
        <f>IF(OR(N36="",O36=""),"",ROUND(MOD(O36-N36,1)*24,2))</f>
        <v/>
      </c>
      <c r="Q36" s="26"/>
      <c r="R36" s="25"/>
      <c r="S36" s="27" t="str">
        <f>IF(OR(Q36="",R36=""),"",ROUND(MOD(R36-Q36,1)*24,2))</f>
        <v/>
      </c>
      <c r="T36" s="26"/>
      <c r="U36" s="25"/>
      <c r="V36" s="24" t="str">
        <f>IF(OR(T36="",U36=""),"",ROUND(MOD(U36-T36,1)*24,2))</f>
        <v/>
      </c>
    </row>
    <row r="37" spans="1:22" s="2" customFormat="1" ht="20.25" customHeight="1">
      <c r="B37" s="34">
        <f>B36+1</f>
        <v>46307</v>
      </c>
      <c r="C37" s="33" t="s">
        <v>0</v>
      </c>
      <c r="D37" s="32" t="str">
        <f>TEXT(B37,"aaa")</f>
        <v>月</v>
      </c>
      <c r="E37" s="31" t="str">
        <f>IF(COUNT(J37,M37,P37,S37,V37)=0,"",SUM(J37,M37,P37,S37,V37))</f>
        <v/>
      </c>
      <c r="F37" s="30"/>
      <c r="G37" s="29"/>
      <c r="H37" s="28"/>
      <c r="I37" s="25"/>
      <c r="J37" s="27" t="str">
        <f>IF(OR(H37="",I37=""),"",ROUND(MOD(I37-H37,1)*24,2))</f>
        <v/>
      </c>
      <c r="K37" s="26"/>
      <c r="L37" s="25"/>
      <c r="M37" s="27" t="str">
        <f>IF(OR(K37="",L37=""),"",ROUND(MOD(L37-K37,1)*24,2))</f>
        <v/>
      </c>
      <c r="N37" s="26"/>
      <c r="O37" s="25"/>
      <c r="P37" s="27" t="str">
        <f>IF(OR(N37="",O37=""),"",ROUND(MOD(O37-N37,1)*24,2))</f>
        <v/>
      </c>
      <c r="Q37" s="26"/>
      <c r="R37" s="25"/>
      <c r="S37" s="27" t="str">
        <f>IF(OR(Q37="",R37=""),"",ROUND(MOD(R37-Q37,1)*24,2))</f>
        <v/>
      </c>
      <c r="T37" s="26"/>
      <c r="U37" s="25"/>
      <c r="V37" s="24" t="str">
        <f>IF(OR(T37="",U37=""),"",ROUND(MOD(U37-T37,1)*24,2))</f>
        <v/>
      </c>
    </row>
    <row r="38" spans="1:22" s="2" customFormat="1" ht="20.25" customHeight="1">
      <c r="B38" s="34">
        <f>B37+1</f>
        <v>46308</v>
      </c>
      <c r="C38" s="33" t="s">
        <v>0</v>
      </c>
      <c r="D38" s="32" t="str">
        <f>TEXT(B38,"aaa")</f>
        <v>火</v>
      </c>
      <c r="E38" s="31" t="str">
        <f>IF(COUNT(J38,M38,P38,S38,V38)=0,"",SUM(J38,M38,P38,S38,V38))</f>
        <v/>
      </c>
      <c r="F38" s="30"/>
      <c r="G38" s="29"/>
      <c r="H38" s="28"/>
      <c r="I38" s="25"/>
      <c r="J38" s="27" t="str">
        <f>IF(OR(H38="",I38=""),"",ROUND(MOD(I38-H38,1)*24,2))</f>
        <v/>
      </c>
      <c r="K38" s="26"/>
      <c r="L38" s="25"/>
      <c r="M38" s="27" t="str">
        <f>IF(OR(K38="",L38=""),"",ROUND(MOD(L38-K38,1)*24,2))</f>
        <v/>
      </c>
      <c r="N38" s="26"/>
      <c r="O38" s="25"/>
      <c r="P38" s="27" t="str">
        <f>IF(OR(N38="",O38=""),"",ROUND(MOD(O38-N38,1)*24,2))</f>
        <v/>
      </c>
      <c r="Q38" s="26"/>
      <c r="R38" s="25"/>
      <c r="S38" s="27" t="str">
        <f>IF(OR(Q38="",R38=""),"",ROUND(MOD(R38-Q38,1)*24,2))</f>
        <v/>
      </c>
      <c r="T38" s="26"/>
      <c r="U38" s="25"/>
      <c r="V38" s="24" t="str">
        <f>IF(OR(T38="",U38=""),"",ROUND(MOD(U38-T38,1)*24,2))</f>
        <v/>
      </c>
    </row>
    <row r="39" spans="1:22" s="2" customFormat="1" ht="20.25" customHeight="1">
      <c r="B39" s="34">
        <f>B38+1</f>
        <v>46309</v>
      </c>
      <c r="C39" s="33" t="s">
        <v>0</v>
      </c>
      <c r="D39" s="32" t="str">
        <f>TEXT(B39,"aaa")</f>
        <v>水</v>
      </c>
      <c r="E39" s="31" t="str">
        <f>IF(COUNT(J39,M39,P39,S39,V39)=0,"",SUM(J39,M39,P39,S39,V39))</f>
        <v/>
      </c>
      <c r="F39" s="30"/>
      <c r="G39" s="29"/>
      <c r="H39" s="28"/>
      <c r="I39" s="25"/>
      <c r="J39" s="27" t="str">
        <f>IF(OR(H39="",I39=""),"",ROUND(MOD(I39-H39,1)*24,2))</f>
        <v/>
      </c>
      <c r="K39" s="26"/>
      <c r="L39" s="25"/>
      <c r="M39" s="27" t="str">
        <f>IF(OR(K39="",L39=""),"",ROUND(MOD(L39-K39,1)*24,2))</f>
        <v/>
      </c>
      <c r="N39" s="26"/>
      <c r="O39" s="25"/>
      <c r="P39" s="27" t="str">
        <f>IF(OR(N39="",O39=""),"",ROUND(MOD(O39-N39,1)*24,2))</f>
        <v/>
      </c>
      <c r="Q39" s="26"/>
      <c r="R39" s="25"/>
      <c r="S39" s="27" t="str">
        <f>IF(OR(Q39="",R39=""),"",ROUND(MOD(R39-Q39,1)*24,2))</f>
        <v/>
      </c>
      <c r="T39" s="26"/>
      <c r="U39" s="25"/>
      <c r="V39" s="24" t="str">
        <f>IF(OR(T39="",U39=""),"",ROUND(MOD(U39-T39,1)*24,2))</f>
        <v/>
      </c>
    </row>
    <row r="40" spans="1:22" s="2" customFormat="1" ht="20.25" customHeight="1">
      <c r="B40" s="34">
        <f>B39+1</f>
        <v>46310</v>
      </c>
      <c r="C40" s="33" t="s">
        <v>0</v>
      </c>
      <c r="D40" s="32" t="str">
        <f>TEXT(B40,"aaa")</f>
        <v>木</v>
      </c>
      <c r="E40" s="31" t="str">
        <f>IF(COUNT(J40,M40,P40,S40,V40)=0,"",SUM(J40,M40,P40,S40,V40))</f>
        <v/>
      </c>
      <c r="F40" s="30"/>
      <c r="G40" s="29"/>
      <c r="H40" s="28"/>
      <c r="I40" s="25"/>
      <c r="J40" s="27" t="str">
        <f>IF(OR(H40="",I40=""),"",ROUND(MOD(I40-H40,1)*24,2))</f>
        <v/>
      </c>
      <c r="K40" s="26"/>
      <c r="L40" s="25"/>
      <c r="M40" s="27" t="str">
        <f>IF(OR(K40="",L40=""),"",ROUND(MOD(L40-K40,1)*24,2))</f>
        <v/>
      </c>
      <c r="N40" s="26"/>
      <c r="O40" s="25"/>
      <c r="P40" s="27" t="str">
        <f>IF(OR(N40="",O40=""),"",ROUND(MOD(O40-N40,1)*24,2))</f>
        <v/>
      </c>
      <c r="Q40" s="26"/>
      <c r="R40" s="25"/>
      <c r="S40" s="27" t="str">
        <f>IF(OR(Q40="",R40=""),"",ROUND(MOD(R40-Q40,1)*24,2))</f>
        <v/>
      </c>
      <c r="T40" s="26"/>
      <c r="U40" s="25"/>
      <c r="V40" s="24" t="str">
        <f>IF(OR(T40="",U40=""),"",ROUND(MOD(U40-T40,1)*24,2))</f>
        <v/>
      </c>
    </row>
    <row r="41" spans="1:22" s="2" customFormat="1" ht="20.25" customHeight="1" thickBot="1">
      <c r="B41" s="23">
        <f>B40+1</f>
        <v>46311</v>
      </c>
      <c r="C41" s="22" t="s">
        <v>0</v>
      </c>
      <c r="D41" s="21" t="str">
        <f>TEXT(B41,"aaa")</f>
        <v>金</v>
      </c>
      <c r="E41" s="20" t="str">
        <f>IF(COUNT(J41,M41,P41,S41,V41)=0,"",SUM(J41,M41,P41,S41,V41))</f>
        <v/>
      </c>
      <c r="F41" s="19"/>
      <c r="G41" s="18"/>
      <c r="H41" s="17"/>
      <c r="I41" s="14"/>
      <c r="J41" s="16" t="str">
        <f>IF(OR(H41="",I41=""),"",ROUND(MOD(I41-H41,1)*24,2))</f>
        <v/>
      </c>
      <c r="K41" s="15"/>
      <c r="L41" s="14"/>
      <c r="M41" s="16" t="str">
        <f>IF(OR(K41="",L41=""),"",ROUND(MOD(L41-K41,1)*24,2))</f>
        <v/>
      </c>
      <c r="N41" s="15"/>
      <c r="O41" s="14"/>
      <c r="P41" s="16" t="str">
        <f>IF(OR(N41="",O41=""),"",ROUND(MOD(O41-N41,1)*24,2))</f>
        <v/>
      </c>
      <c r="Q41" s="15"/>
      <c r="R41" s="14"/>
      <c r="S41" s="16" t="str">
        <f>IF(OR(Q41="",R41=""),"",ROUND(MOD(R41-Q41,1)*24,2))</f>
        <v/>
      </c>
      <c r="T41" s="15"/>
      <c r="U41" s="14"/>
      <c r="V41" s="13" t="str">
        <f>IF(OR(T41="",U41=""),"",ROUND(MOD(U41-T41,1)*24,2))</f>
        <v/>
      </c>
    </row>
    <row r="42" spans="1:22" ht="7.9" customHeight="1">
      <c r="B42" s="12"/>
      <c r="C42" s="11"/>
      <c r="D42" s="11"/>
      <c r="E42" s="10"/>
      <c r="F42" s="10"/>
      <c r="G42" s="10"/>
      <c r="U42" s="9"/>
    </row>
    <row r="43" spans="1:22" s="2" customFormat="1" ht="15" customHeight="1" thickBot="1">
      <c r="A43" s="8"/>
      <c r="B43" s="7"/>
      <c r="C43" s="3"/>
      <c r="D43" s="6" t="s">
        <v>1</v>
      </c>
      <c r="E43" s="5">
        <f>COUNTIFS($B$11:$B$41,"&lt;="&amp;DATE($B$5,$E$5+1,15),$E$11:$E$41,"&gt;0")</f>
        <v>17</v>
      </c>
      <c r="F43" s="4" t="s">
        <v>0</v>
      </c>
      <c r="G43" s="3"/>
    </row>
  </sheetData>
  <sheetProtection sheet="1" objects="1" scenarios="1"/>
  <mergeCells count="44">
    <mergeCell ref="F41:G41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F33:G33"/>
    <mergeCell ref="F34:G34"/>
    <mergeCell ref="F23:G23"/>
    <mergeCell ref="F24:G24"/>
    <mergeCell ref="F25:G25"/>
    <mergeCell ref="F26:G26"/>
    <mergeCell ref="F27:G27"/>
    <mergeCell ref="F28:G28"/>
    <mergeCell ref="F17:G17"/>
    <mergeCell ref="F18:G18"/>
    <mergeCell ref="F19:G19"/>
    <mergeCell ref="F20:G20"/>
    <mergeCell ref="F21:G21"/>
    <mergeCell ref="F22:G22"/>
    <mergeCell ref="F11:G11"/>
    <mergeCell ref="F12:G12"/>
    <mergeCell ref="F13:G13"/>
    <mergeCell ref="F14:G14"/>
    <mergeCell ref="F15:G15"/>
    <mergeCell ref="F16:G16"/>
    <mergeCell ref="H8:V8"/>
    <mergeCell ref="H9:J9"/>
    <mergeCell ref="K9:M9"/>
    <mergeCell ref="N9:P9"/>
    <mergeCell ref="Q9:S9"/>
    <mergeCell ref="T9:V9"/>
    <mergeCell ref="B1:G1"/>
    <mergeCell ref="B3:F3"/>
    <mergeCell ref="G3:G4"/>
    <mergeCell ref="B5:C5"/>
    <mergeCell ref="B8:D10"/>
    <mergeCell ref="E8:E10"/>
    <mergeCell ref="F8:G10"/>
  </mergeCells>
  <phoneticPr fontId="1"/>
  <conditionalFormatting sqref="B3">
    <cfRule type="expression" dxfId="13" priority="4">
      <formula>TRIM($B$3)="氏名："</formula>
    </cfRule>
  </conditionalFormatting>
  <conditionalFormatting sqref="B11:D41">
    <cfRule type="expression" dxfId="12" priority="2">
      <formula>AND(WEEKDAY($B11)=7,$B11&lt;=DATE($B$5,$E$5+1,15))</formula>
    </cfRule>
    <cfRule type="expression" dxfId="11" priority="3">
      <formula>AND(WEEKDAY($B11)=1,$B11&lt;=DATE($B$5,$E$5+1,15))</formula>
    </cfRule>
  </conditionalFormatting>
  <conditionalFormatting sqref="B11:V41">
    <cfRule type="expression" dxfId="10" priority="1">
      <formula>$B11&gt;DATE($B$5,$E$5+1,15)</formula>
    </cfRule>
  </conditionalFormatting>
  <conditionalFormatting sqref="H11:J41">
    <cfRule type="expression" dxfId="9" priority="5">
      <formula>AND($H11&lt;&gt;"",OR(AND($K11&lt;&gt;"",$H11&lt;$K11+N($M11)/24,$K11&lt;$H11+N($J11)/24),AND($N11&lt;&gt;"",$H11&lt;$N11+N($P11)/24,$N11&lt;$H11+N($J11)/24),AND($Q11&lt;&gt;"",$H11&lt;$Q11+N($S11)/24,$Q11&lt;$H11+N($J11)/24),AND($T11&lt;&gt;"",$H11&lt;$T11+N($V11)/24,$T11&lt;$H11+N($J11)/24)))</formula>
    </cfRule>
  </conditionalFormatting>
  <conditionalFormatting sqref="J11:J41">
    <cfRule type="expression" dxfId="8" priority="10">
      <formula>AND(ISNUMBER(J11),J11&gt;=12)</formula>
    </cfRule>
  </conditionalFormatting>
  <conditionalFormatting sqref="K11:M41">
    <cfRule type="expression" dxfId="7" priority="6">
      <formula>AND($K11&lt;&gt;"",OR(AND($H11&lt;&gt;"",$K11&lt;$H11+N($J11)/24,$H11&lt;$K11+N($M11)/24),AND($N11&lt;&gt;"",$K11&lt;$N11+N($P11)/24,$N11&lt;$K11+N($M11)/24),AND($Q11&lt;&gt;"",$K11&lt;$Q11+N($S11)/24,$Q11&lt;$K11+N($M11)/24),AND($T11&lt;&gt;"",$K11&lt;$T11+N($V11)/24,$T11&lt;$K11+N($M11)/24)))</formula>
    </cfRule>
  </conditionalFormatting>
  <conditionalFormatting sqref="M11:M41">
    <cfRule type="expression" dxfId="6" priority="11">
      <formula>AND(ISNUMBER(M11),M11&gt;=12)</formula>
    </cfRule>
  </conditionalFormatting>
  <conditionalFormatting sqref="N11:P41">
    <cfRule type="expression" dxfId="5" priority="7">
      <formula>AND($N11&lt;&gt;"",OR(AND($H11&lt;&gt;"",$N11&lt;$H11+N($J11)/24,$H11&lt;$N11+N($P11)/24),AND($K11&lt;&gt;"",$N11&lt;$K11+N($M11)/24,$K11&lt;$N11+N($P11)/24),AND($Q11&lt;&gt;"",$N11&lt;$Q11+N($S11)/24,$Q11&lt;$N11+N($P11)/24),AND($T11&lt;&gt;"",$N11&lt;$T11+N($V11)/24,$T11&lt;$N11+N($P11)/24)))</formula>
    </cfRule>
  </conditionalFormatting>
  <conditionalFormatting sqref="P11:P41">
    <cfRule type="expression" dxfId="4" priority="12">
      <formula>AND(ISNUMBER(P11),P11&gt;=12)</formula>
    </cfRule>
  </conditionalFormatting>
  <conditionalFormatting sqref="Q11:S41">
    <cfRule type="expression" dxfId="3" priority="8">
      <formula>AND($Q11&lt;&gt;"",OR(AND($H11&lt;&gt;"",$Q11&lt;$H11+N($J11)/24,$H11&lt;$Q11+N($S11)/24),AND($K11&lt;&gt;"",$Q11&lt;$K11+N($M11)/24,$K11&lt;$Q11+N($S11)/24),AND($N11&lt;&gt;"",$Q11&lt;$N11+N($P11)/24,$N11&lt;$Q11+N($S11)/24),AND($T11&lt;&gt;"",$Q11&lt;$T11+N($V11)/24,$T11&lt;$Q11+N($S11)/24)))</formula>
    </cfRule>
  </conditionalFormatting>
  <conditionalFormatting sqref="S11:S41">
    <cfRule type="expression" dxfId="2" priority="13">
      <formula>AND(ISNUMBER(S11),S11&gt;=12)</formula>
    </cfRule>
  </conditionalFormatting>
  <conditionalFormatting sqref="T11:V41">
    <cfRule type="expression" dxfId="1" priority="9">
      <formula>AND($T11&lt;&gt;"",OR(AND($H11&lt;&gt;"",$T11&lt;$H11+N($J11)/24,$H11&lt;$T11+N($V11)/24),AND($K11&lt;&gt;"",$T11&lt;$K11+N($M11)/24,$K11&lt;$T11+N($V11)/24),AND($N11&lt;&gt;"",$T11&lt;$N11+N($P11)/24,$N11&lt;$T11+N($V11)/24),AND($Q11&lt;&gt;"",$T11&lt;$Q11+N($S11)/24,$Q11&lt;$T11+N($V11)/24)))</formula>
    </cfRule>
  </conditionalFormatting>
  <conditionalFormatting sqref="V11:V41">
    <cfRule type="expression" dxfId="0" priority="14">
      <formula>AND(ISNUMBER(V11),V11&gt;=12)</formula>
    </cfRule>
  </conditionalFormatting>
  <dataValidations count="3">
    <dataValidation type="custom" imeMode="off" allowBlank="1" showInputMessage="1" showErrorMessage="1" errorTitle="入力できません" error="「9:00」「14:15」のように15分単位の時刻で入力してください。_x000a_入力できる範囲は 0:00〜23:45 です。_x000a_グレーの行は当月の対象期間外のため入力できません。" promptTitle="作業時刻の入力" prompt="開始・終了を時刻で入力してください。_x000a_例）9:00 / 14:15_x000a_日をまたぐ場合は終了に翌日の時刻を入力してください。_x000a_例）23:00 → 1:00 は 2.00 時間になります。" sqref="H11:I41 T11:U41 Q11:R41 N11:O41 K11:L41" xr:uid="{259ED6D9-3E22-417D-8EDA-762AD8B8902C}">
      <formula1>IF(ISNUMBER(H11),AND(H11&gt;=0,H11&lt;1,MOD(ROUND(H11*1440,0),15)=0,$B11&lt;=DATE($B$5,$E$5+1,15)),FALSE)</formula1>
    </dataValidation>
    <dataValidation type="whole" imeMode="off" showInputMessage="1" showErrorMessage="1" errorTitle="入力できません" error="西暦4桁の年を 2020〜2100 の範囲で入力してください。" promptTitle="年の入力" prompt="対象期間の開始年を西暦で入力します。_x000a_例）2026" sqref="B5" xr:uid="{DE4833C9-80B7-4BA0-BD11-783E8F471EF9}">
      <formula1>2020</formula1>
      <formula2>2100</formula2>
    </dataValidation>
    <dataValidation type="whole" imeMode="off" showInputMessage="1" showErrorMessage="1" errorTitle="入力できません" error="月は 1〜12 の整数で入力してください。_x000a_13 や 0 を入力すると別の年月の表になってしまいます。" promptTitle="月の入力" prompt="対象期間の開始月を入力します。_x000a_例）8 と入力すると 8/16〜9/15 が対象になります。" sqref="E5" xr:uid="{77E176E2-ED78-4EE6-9156-C4BD71B725B2}">
      <formula1>1</formula1>
      <formula2>12</formula2>
    </dataValidation>
  </dataValidations>
  <pageMargins left="0.23622047244094491" right="0.23622047244094491" top="0.74803149606299213" bottom="0.7480314960629921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2026年9月</vt:lpstr>
      <vt:lpstr>'2026年9月'!Print_Area</vt:lpstr>
      <vt:lpstr>'2026年9月'!Print_Titles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admin-FujitaShuichi</dc:creator>
  <cp:lastModifiedBy>藤田 秀一</cp:lastModifiedBy>
  <dcterms:created xsi:type="dcterms:W3CDTF">2015-06-05T18:19:34Z</dcterms:created>
  <dcterms:modified xsi:type="dcterms:W3CDTF">2026-10-06T06:38:21Z</dcterms:modified>
</cp:coreProperties>
</file>